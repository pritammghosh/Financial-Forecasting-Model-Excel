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ita\Downloads\"/>
    </mc:Choice>
  </mc:AlternateContent>
  <xr:revisionPtr revIDLastSave="0" documentId="13_ncr:1_{37303B3F-4E3C-4E28-A545-A7616E984375}" xr6:coauthVersionLast="47" xr6:coauthVersionMax="47" xr10:uidLastSave="{00000000-0000-0000-0000-000000000000}"/>
  <bookViews>
    <workbookView xWindow="-118" yWindow="-118" windowWidth="25370" windowHeight="13667" activeTab="4" xr2:uid="{C16E35AA-D491-4B8F-BEE1-3486C195E642}"/>
  </bookViews>
  <sheets>
    <sheet name="Historical_Data" sheetId="1" r:id="rId1"/>
    <sheet name="Assumptions" sheetId="2" r:id="rId2"/>
    <sheet name="Forecast_2024" sheetId="3" r:id="rId3"/>
    <sheet name="Table Wise Distribution" sheetId="5" r:id="rId4"/>
    <sheet name="Dashboard" sheetId="4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L3" i="3" s="1"/>
  <c r="C69" i="5"/>
  <c r="C68" i="5"/>
  <c r="C66" i="5"/>
  <c r="C67" i="5"/>
  <c r="D5" i="5"/>
  <c r="G4" i="5"/>
  <c r="F4" i="5"/>
  <c r="B5" i="5"/>
  <c r="C5" i="5"/>
  <c r="E5" i="5"/>
  <c r="B4" i="3" l="1"/>
  <c r="E3" i="3"/>
  <c r="D3" i="3"/>
  <c r="F3" i="3"/>
  <c r="C3" i="3"/>
  <c r="G3" i="3" s="1"/>
  <c r="D4" i="3"/>
  <c r="B5" i="3"/>
  <c r="C4" i="3"/>
  <c r="G4" i="3" s="1"/>
  <c r="F4" i="3"/>
  <c r="E4" i="3" l="1"/>
  <c r="L4" i="3"/>
  <c r="H4" i="3"/>
  <c r="K4" i="3" s="1"/>
  <c r="M4" i="3" s="1"/>
  <c r="H3" i="3"/>
  <c r="C5" i="3"/>
  <c r="G5" i="3" s="1"/>
  <c r="E5" i="3"/>
  <c r="B6" i="3"/>
  <c r="F5" i="3"/>
  <c r="L5" i="3"/>
  <c r="D5" i="3"/>
  <c r="K3" i="3" l="1"/>
  <c r="M3" i="3" s="1"/>
  <c r="B7" i="3"/>
  <c r="C6" i="3"/>
  <c r="G6" i="3" s="1"/>
  <c r="F6" i="3"/>
  <c r="L6" i="3"/>
  <c r="E6" i="3"/>
  <c r="D6" i="3"/>
  <c r="H5" i="3"/>
  <c r="K5" i="3" s="1"/>
  <c r="M5" i="3" s="1"/>
  <c r="H6" i="3" l="1"/>
  <c r="K6" i="3" s="1"/>
  <c r="M6" i="3" s="1"/>
  <c r="B8" i="3"/>
  <c r="F7" i="3"/>
  <c r="E7" i="3"/>
  <c r="L7" i="3"/>
  <c r="C7" i="3"/>
  <c r="G7" i="3" s="1"/>
  <c r="D7" i="3"/>
  <c r="H7" i="3" l="1"/>
  <c r="K7" i="3" s="1"/>
  <c r="M7" i="3" s="1"/>
  <c r="B9" i="3"/>
  <c r="F8" i="3"/>
  <c r="E8" i="3"/>
  <c r="D8" i="3"/>
  <c r="C8" i="3"/>
  <c r="G8" i="3" s="1"/>
  <c r="H8" i="3" s="1"/>
  <c r="K8" i="3" s="1"/>
  <c r="L8" i="3"/>
  <c r="M8" i="3" l="1"/>
  <c r="B10" i="3"/>
  <c r="F9" i="3"/>
  <c r="E9" i="3"/>
  <c r="D9" i="3"/>
  <c r="C9" i="3"/>
  <c r="G9" i="3" s="1"/>
  <c r="H9" i="3" s="1"/>
  <c r="K9" i="3" s="1"/>
  <c r="M9" i="3" s="1"/>
  <c r="L9" i="3"/>
  <c r="B11" i="3" l="1"/>
  <c r="F10" i="3"/>
  <c r="E10" i="3"/>
  <c r="D10" i="3"/>
  <c r="C10" i="3"/>
  <c r="G10" i="3" s="1"/>
  <c r="H10" i="3" s="1"/>
  <c r="K10" i="3" s="1"/>
  <c r="L10" i="3"/>
  <c r="M10" i="3" l="1"/>
  <c r="B12" i="3"/>
  <c r="E11" i="3"/>
  <c r="D11" i="3"/>
  <c r="C11" i="3"/>
  <c r="G11" i="3" s="1"/>
  <c r="F11" i="3"/>
  <c r="L11" i="3"/>
  <c r="H11" i="3" l="1"/>
  <c r="K11" i="3" s="1"/>
  <c r="M11" i="3" s="1"/>
  <c r="B13" i="3"/>
  <c r="L12" i="3"/>
  <c r="F12" i="3"/>
  <c r="E12" i="3"/>
  <c r="D12" i="3"/>
  <c r="C12" i="3"/>
  <c r="G12" i="3" s="1"/>
  <c r="H12" i="3" l="1"/>
  <c r="K12" i="3" s="1"/>
  <c r="M12" i="3" s="1"/>
  <c r="B14" i="3"/>
  <c r="C13" i="3"/>
  <c r="G13" i="3" s="1"/>
  <c r="D13" i="3"/>
  <c r="L13" i="3"/>
  <c r="F13" i="3"/>
  <c r="E13" i="3"/>
  <c r="B23" i="3" l="1"/>
  <c r="B19" i="3"/>
  <c r="A27" i="3"/>
  <c r="H13" i="3"/>
  <c r="K13" i="3" s="1"/>
  <c r="M13" i="3" s="1"/>
  <c r="L14" i="3"/>
  <c r="E14" i="3"/>
  <c r="C14" i="3"/>
  <c r="G14" i="3" s="1"/>
  <c r="G19" i="3" s="1"/>
  <c r="D14" i="3"/>
  <c r="F14" i="3"/>
  <c r="H14" i="3" l="1"/>
  <c r="K14" i="3" l="1"/>
  <c r="M14" i="3" s="1"/>
  <c r="M24" i="3" s="1"/>
  <c r="H19" i="3"/>
  <c r="M19" i="3" l="1"/>
  <c r="A26" i="3"/>
</calcChain>
</file>

<file path=xl/sharedStrings.xml><?xml version="1.0" encoding="utf-8"?>
<sst xmlns="http://schemas.openxmlformats.org/spreadsheetml/2006/main" count="105" uniqueCount="62">
  <si>
    <t>Month</t>
  </si>
  <si>
    <t>Revenue</t>
  </si>
  <si>
    <t>COGS</t>
  </si>
  <si>
    <t>Operating_Expenses</t>
  </si>
  <si>
    <t>Marketing</t>
  </si>
  <si>
    <t>Other_Expenses</t>
  </si>
  <si>
    <t>ASSUMPTIONS</t>
  </si>
  <si>
    <t>Parameter</t>
  </si>
  <si>
    <t>Value</t>
  </si>
  <si>
    <t>Revenue Growth Rate</t>
  </si>
  <si>
    <t>COGS % of Revenue</t>
  </si>
  <si>
    <t>Operating Expense Growth</t>
  </si>
  <si>
    <t>Marketing % of Revenue</t>
  </si>
  <si>
    <t>Other Expenses %</t>
  </si>
  <si>
    <t>Tax Rate</t>
  </si>
  <si>
    <t>Profit Target</t>
  </si>
  <si>
    <t>Operating Expenses</t>
  </si>
  <si>
    <t>Other expenses</t>
  </si>
  <si>
    <t>Gross Profit</t>
  </si>
  <si>
    <t>EBITDA</t>
  </si>
  <si>
    <t>Depreaciation</t>
  </si>
  <si>
    <t>Intrest</t>
  </si>
  <si>
    <t>EBT</t>
  </si>
  <si>
    <t>Taxes</t>
  </si>
  <si>
    <t>Net Income</t>
  </si>
  <si>
    <t>Monthly Avg Revenue</t>
  </si>
  <si>
    <t>Total Revenue Assumption</t>
  </si>
  <si>
    <t>Total Gross Profit Asumps</t>
  </si>
  <si>
    <t>Total Net Income</t>
  </si>
  <si>
    <t>Net Profiy Margin</t>
  </si>
  <si>
    <t>Sum of Revenue</t>
  </si>
  <si>
    <t>Sum of Gross Profit</t>
  </si>
  <si>
    <t>Sum of Net Income</t>
  </si>
  <si>
    <t>Grand Total</t>
  </si>
  <si>
    <t>Sum of EBITDA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</si>
  <si>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</si>
  <si>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</si>
  <si>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</si>
  <si>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</si>
  <si>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</si>
  <si>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</si>
  <si>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</si>
  <si>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</si>
  <si>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</si>
  <si>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</si>
  <si>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</si>
  <si>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</si>
  <si>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 Year</t>
  </si>
  <si>
    <t>EBITDA MARGIN</t>
  </si>
  <si>
    <t>NET Income MARGIN</t>
  </si>
  <si>
    <t>Sum of COGS</t>
  </si>
  <si>
    <t xml:space="preserve"> </t>
  </si>
  <si>
    <t>Total COGS</t>
  </si>
  <si>
    <t>Total Revenue</t>
  </si>
  <si>
    <t xml:space="preserve">Total </t>
  </si>
  <si>
    <t>Total Gross Profit</t>
  </si>
  <si>
    <t>Overall Total Valuation Estimations</t>
  </si>
  <si>
    <t>Total Revenue Estimation
Over Year(2024)</t>
  </si>
  <si>
    <t>Total Reveune and COGS Distribution</t>
  </si>
  <si>
    <t>Distribution of Gross Profit/ EBITDA &amp; Net Income</t>
  </si>
  <si>
    <t>COTMX FORECAST ASUMPTION DATA</t>
  </si>
  <si>
    <t>COTMX Historical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</si>
</sst>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,,\ &quot;M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4" fontId="2" fillId="0" borderId="0" xfId="0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right"/>
    </xf>
    <xf numFmtId="2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7" fillId="2" borderId="0" xfId="0" applyNumberFormat="1" applyFont="1" applyFill="1" applyBorder="1"/>
    <xf numFmtId="0" fontId="6" fillId="0" borderId="0" xfId="0" applyFont="1" applyBorder="1"/>
    <xf numFmtId="0" fontId="3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0" fillId="6" borderId="3" xfId="0" applyFill="1" applyBorder="1"/>
    <xf numFmtId="0" fontId="0" fillId="6" borderId="4" xfId="0" applyFill="1" applyBorder="1"/>
    <xf numFmtId="0" fontId="0" fillId="6" borderId="3" xfId="0" applyFill="1" applyBorder="1" applyAlignment="1">
      <alignment horizontal="left"/>
    </xf>
    <xf numFmtId="2" fontId="0" fillId="6" borderId="4" xfId="0" applyNumberFormat="1" applyFill="1" applyBorder="1"/>
    <xf numFmtId="0" fontId="0" fillId="6" borderId="5" xfId="0" applyFill="1" applyBorder="1" applyAlignment="1">
      <alignment horizontal="left"/>
    </xf>
    <xf numFmtId="2" fontId="0" fillId="6" borderId="6" xfId="0" applyNumberFormat="1" applyFill="1" applyBorder="1"/>
    <xf numFmtId="0" fontId="9" fillId="4" borderId="0" xfId="0" applyFont="1" applyFill="1" applyBorder="1"/>
    <xf numFmtId="0" fontId="8" fillId="5" borderId="0" xfId="0" applyFont="1" applyFill="1" applyBorder="1"/>
    <xf numFmtId="0" fontId="11" fillId="3" borderId="1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8" fillId="5" borderId="4" xfId="0" applyFont="1" applyFill="1" applyBorder="1"/>
    <xf numFmtId="2" fontId="10" fillId="0" borderId="5" xfId="0" applyNumberFormat="1" applyFont="1" applyBorder="1"/>
    <xf numFmtId="2" fontId="10" fillId="0" borderId="8" xfId="0" applyNumberFormat="1" applyFont="1" applyBorder="1"/>
    <xf numFmtId="9" fontId="10" fillId="0" borderId="8" xfId="1" applyFont="1" applyBorder="1"/>
    <xf numFmtId="9" fontId="10" fillId="0" borderId="6" xfId="1" applyFont="1" applyBorder="1"/>
    <xf numFmtId="0" fontId="7" fillId="0" borderId="0" xfId="0" applyFont="1"/>
    <xf numFmtId="2" fontId="7" fillId="0" borderId="0" xfId="0" applyNumberFormat="1" applyFont="1"/>
    <xf numFmtId="0" fontId="7" fillId="2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6" borderId="0" xfId="0" applyFill="1" applyBorder="1"/>
    <xf numFmtId="2" fontId="0" fillId="6" borderId="0" xfId="0" applyNumberFormat="1" applyFill="1" applyBorder="1"/>
    <xf numFmtId="2" fontId="0" fillId="6" borderId="8" xfId="0" applyNumberFormat="1" applyFill="1" applyBorder="1"/>
    <xf numFmtId="0" fontId="8" fillId="4" borderId="3" xfId="0" applyFont="1" applyFill="1" applyBorder="1"/>
    <xf numFmtId="0" fontId="8" fillId="4" borderId="0" xfId="0" applyFont="1" applyFill="1" applyBorder="1"/>
    <xf numFmtId="14" fontId="7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9" fontId="7" fillId="0" borderId="0" xfId="1" applyFont="1" applyAlignment="1">
      <alignment horizontal="right"/>
    </xf>
    <xf numFmtId="14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14" fontId="2" fillId="3" borderId="0" xfId="0" applyNumberFormat="1" applyFont="1" applyFill="1" applyAlignment="1">
      <alignment horizontal="left"/>
    </xf>
    <xf numFmtId="2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/>
  </cellXfs>
  <cellStyles count="2">
    <cellStyle name="Normal" xfId="0" builtinId="0"/>
    <cellStyle name="Percent" xfId="1" builtinId="5"/>
  </cellStyles>
  <dxfs count="20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right" vertical="bottom" textRotation="0" wrapText="0" indent="0" justifyLastLine="0" shrinkToFit="0" readingOrder="0"/>
    </dxf>
    <dxf>
      <fill>
        <patternFill>
          <bgColor theme="9" tint="0.59999389629810485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14"/>
      </font>
    </dxf>
    <dxf>
      <font>
        <sz val="12"/>
      </font>
    </dxf>
    <dxf>
      <font>
        <b val="0"/>
      </font>
    </dxf>
    <dxf>
      <font>
        <i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ill>
        <patternFill>
          <bgColor theme="9" tint="0.59999389629810485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14"/>
      </font>
    </dxf>
    <dxf>
      <font>
        <sz val="12"/>
      </font>
    </dxf>
    <dxf>
      <font>
        <b val="0"/>
      </font>
    </dxf>
    <dxf>
      <font>
        <i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ill>
        <patternFill>
          <bgColor theme="9" tint="0.59999389629810485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14"/>
      </font>
    </dxf>
    <dxf>
      <font>
        <sz val="12"/>
      </font>
    </dxf>
    <dxf>
      <font>
        <b val="0"/>
      </font>
    </dxf>
    <dxf>
      <font>
        <i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ill>
        <patternFill>
          <bgColor theme="9" tint="0.59999389629810485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14"/>
      </font>
    </dxf>
    <dxf>
      <font>
        <sz val="12"/>
      </font>
    </dxf>
    <dxf>
      <font>
        <b val="0"/>
      </font>
    </dxf>
    <dxf>
      <font>
        <i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'Table Wise Distribution'!$C$65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6D-4BE5-BC68-717B62C8AF57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6D-4BE5-BC68-717B62C8AF57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6D-4BE5-BC68-717B62C8AF57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6D-4BE5-BC68-717B62C8AF57}"/>
              </c:ext>
            </c:extLst>
          </c:dPt>
          <c:cat>
            <c:strRef>
              <c:f>'Table Wise Distribution'!$B$66:$B$69</c:f>
              <c:strCache>
                <c:ptCount val="4"/>
                <c:pt idx="0">
                  <c:v>Total Revenue</c:v>
                </c:pt>
                <c:pt idx="1">
                  <c:v>Total COGS</c:v>
                </c:pt>
                <c:pt idx="2">
                  <c:v>Total Gross Profit</c:v>
                </c:pt>
                <c:pt idx="3">
                  <c:v>Total Net Income</c:v>
                </c:pt>
              </c:strCache>
            </c:strRef>
          </c:cat>
          <c:val>
            <c:numRef>
              <c:f>'Table Wise Distribution'!$C$66:$C$69</c:f>
              <c:numCache>
                <c:formatCode>0.00</c:formatCode>
                <c:ptCount val="4"/>
                <c:pt idx="0">
                  <c:v>7891553.0297936518</c:v>
                </c:pt>
                <c:pt idx="1">
                  <c:v>3156621.2119174604</c:v>
                </c:pt>
                <c:pt idx="2">
                  <c:v>4734931.8178761918</c:v>
                </c:pt>
                <c:pt idx="3">
                  <c:v>1302310.6059587297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4-406E-8500-B2F908112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[Project_1_Financial_Forecasting_Model.xlsx]Table Wise Distribution!PivotTable6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Wise Distribution'!$C$8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'Table Wise Distribution'!$B$9:$B$21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'Table Wise Distribution'!$C$9:$C$21</c:f>
              <c:numCache>
                <c:formatCode>0.00</c:formatCode>
                <c:ptCount val="12"/>
                <c:pt idx="0">
                  <c:v>525200</c:v>
                </c:pt>
                <c:pt idx="1">
                  <c:v>546208</c:v>
                </c:pt>
                <c:pt idx="2">
                  <c:v>568056.32000000007</c:v>
                </c:pt>
                <c:pt idx="3">
                  <c:v>590778.57280000008</c:v>
                </c:pt>
                <c:pt idx="4">
                  <c:v>614409.71571200015</c:v>
                </c:pt>
                <c:pt idx="5">
                  <c:v>638986.10434048017</c:v>
                </c:pt>
                <c:pt idx="6">
                  <c:v>664545.54851409944</c:v>
                </c:pt>
                <c:pt idx="7">
                  <c:v>691127.37045466341</c:v>
                </c:pt>
                <c:pt idx="8">
                  <c:v>718772.46527285001</c:v>
                </c:pt>
                <c:pt idx="9">
                  <c:v>747523.36388376402</c:v>
                </c:pt>
                <c:pt idx="10">
                  <c:v>777424.29843911459</c:v>
                </c:pt>
                <c:pt idx="11">
                  <c:v>808521.27037667925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9-4688-AD96-4654E1110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6"/>
        <c:axId val="652673056"/>
        <c:axId val="652673536"/>
      </c:barChart>
      <c:catAx>
        <c:axId val="6526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673536"/>
        <c:crosses val="autoZero"/>
        <c:auto val="1"/>
        <c:lblAlgn val="ctr"/>
        <c:lblOffset val="100"/>
        <c:noMultiLvlLbl val="0"/>
      </c:catAx>
      <c:valAx>
        <c:axId val="6526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67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[Project_1_Financial_Forecasting_Model.xlsx]Table Wise Distribution!PivotTable8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by Total COGS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208924831277637"/>
          <c:y val="0.26722610350379922"/>
          <c:w val="0.57103522165641774"/>
          <c:h val="0.4077975168669408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'Table Wise Distribution'!$F$8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'Table Wise Distribution'!$E$9:$E$21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'Table Wise Distribution'!$F$9:$F$21</c:f>
              <c:numCache>
                <c:formatCode>0.00</c:formatCode>
                <c:ptCount val="12"/>
                <c:pt idx="0">
                  <c:v>525200</c:v>
                </c:pt>
                <c:pt idx="1">
                  <c:v>546208</c:v>
                </c:pt>
                <c:pt idx="2">
                  <c:v>568056.32000000007</c:v>
                </c:pt>
                <c:pt idx="3">
                  <c:v>590778.57280000008</c:v>
                </c:pt>
                <c:pt idx="4">
                  <c:v>614409.71571200015</c:v>
                </c:pt>
                <c:pt idx="5">
                  <c:v>638986.10434048017</c:v>
                </c:pt>
                <c:pt idx="6">
                  <c:v>664545.54851409944</c:v>
                </c:pt>
                <c:pt idx="7">
                  <c:v>691127.37045466341</c:v>
                </c:pt>
                <c:pt idx="8">
                  <c:v>718772.46527285001</c:v>
                </c:pt>
                <c:pt idx="9">
                  <c:v>747523.36388376402</c:v>
                </c:pt>
                <c:pt idx="10">
                  <c:v>777424.29843911459</c:v>
                </c:pt>
                <c:pt idx="11">
                  <c:v>808521.27037667925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1-469B-B91F-18210E70A9B1}"/>
            </c:ext>
          </c:extLst>
        </c:ser>
        <c:ser>
          <c:idx val="1"/>
          <c:order val="1"/>
          <c:tx>
            <c:strRef>
              <c:f>'Table Wise Distribution'!$G$8</c:f>
              <c:strCache>
                <c:ptCount val="1"/>
                <c:pt idx="0">
                  <c:v>Total COGS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'Table Wise Distribution'!$E$9:$E$21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'Table Wise Distribution'!$G$9:$G$21</c:f>
              <c:numCache>
                <c:formatCode>0.00</c:formatCode>
                <c:ptCount val="12"/>
                <c:pt idx="0">
                  <c:v>210080</c:v>
                </c:pt>
                <c:pt idx="1">
                  <c:v>218483.20000000001</c:v>
                </c:pt>
                <c:pt idx="2">
                  <c:v>227222.52800000005</c:v>
                </c:pt>
                <c:pt idx="3">
                  <c:v>236311.42912000004</c:v>
                </c:pt>
                <c:pt idx="4">
                  <c:v>245763.88628480007</c:v>
                </c:pt>
                <c:pt idx="5">
                  <c:v>255594.44173619209</c:v>
                </c:pt>
                <c:pt idx="6">
                  <c:v>265818.2194056398</c:v>
                </c:pt>
                <c:pt idx="7">
                  <c:v>276450.94818186539</c:v>
                </c:pt>
                <c:pt idx="8">
                  <c:v>287508.98610914004</c:v>
                </c:pt>
                <c:pt idx="9">
                  <c:v>299009.34555350564</c:v>
                </c:pt>
                <c:pt idx="10">
                  <c:v>310969.71937564586</c:v>
                </c:pt>
                <c:pt idx="11">
                  <c:v>323408.50815067173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31-469B-B91F-18210E70A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2678336"/>
        <c:axId val="652678816"/>
        <c:axId val="0"/>
      </c:bar3DChart>
      <c:catAx>
        <c:axId val="6526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678816"/>
        <c:crosses val="autoZero"/>
        <c:auto val="1"/>
        <c:lblAlgn val="ctr"/>
        <c:lblOffset val="100"/>
        <c:noMultiLvlLbl val="0"/>
      </c:catAx>
      <c:valAx>
        <c:axId val="6526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6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528339267099511"/>
          <c:y val="0.27850799100429829"/>
          <c:w val="0.20304321501402239"/>
          <c:h val="0.508897494244613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[Project_1_Financial_Forecasting_Model.xlsx]Table Wise Distribution!PivotTable9</c:name>
    <c:fmtId val="5"/>
  </c:pivotSource>
  <c:chart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tint val="65000"/>
              </a:schemeClr>
            </a:solidFill>
            <a:ln w="9525">
              <a:solidFill>
                <a:schemeClr val="accent6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shade val="65000"/>
              </a:schemeClr>
            </a:solidFill>
            <a:ln w="9525">
              <a:solidFill>
                <a:schemeClr val="accent6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tint val="65000"/>
              </a:schemeClr>
            </a:solidFill>
            <a:ln w="9525">
              <a:solidFill>
                <a:schemeClr val="accent6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shade val="65000"/>
              </a:schemeClr>
            </a:solidFill>
            <a:ln w="9525">
              <a:solidFill>
                <a:schemeClr val="accent6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tint val="65000"/>
              </a:schemeClr>
            </a:solidFill>
            <a:ln w="9525">
              <a:solidFill>
                <a:schemeClr val="accent6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shade val="65000"/>
              </a:schemeClr>
            </a:solidFill>
            <a:ln w="9525">
              <a:solidFill>
                <a:schemeClr val="accent6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'Table Wise Distribution'!$J$8</c:f>
              <c:strCache>
                <c:ptCount val="1"/>
                <c:pt idx="0">
                  <c:v>Sum of Gross Profit</c:v>
                </c:pt>
              </c:strCache>
            </c:strRef>
          </c:tx>
          <c:spPr>
            <a:ln w="28575" cap="rnd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65000"/>
                </a:schemeClr>
              </a:solidFill>
              <a:ln w="9525">
                <a:solidFill>
                  <a:schemeClr val="accent6">
                    <a:tint val="65000"/>
                  </a:schemeClr>
                </a:solidFill>
              </a:ln>
              <a:effectLst/>
            </c:spPr>
          </c:marker>
          <c:cat>
            <c:strRef>
              <c:f>'Table Wise Distribution'!$I$9:$I$21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'Table Wise Distribution'!$J$9:$J$21</c:f>
              <c:numCache>
                <c:formatCode>0.00</c:formatCode>
                <c:ptCount val="12"/>
                <c:pt idx="0">
                  <c:v>315120</c:v>
                </c:pt>
                <c:pt idx="1">
                  <c:v>327724.79999999999</c:v>
                </c:pt>
                <c:pt idx="2">
                  <c:v>340833.79200000002</c:v>
                </c:pt>
                <c:pt idx="3">
                  <c:v>354467.14368000004</c:v>
                </c:pt>
                <c:pt idx="4">
                  <c:v>368645.82942720008</c:v>
                </c:pt>
                <c:pt idx="5">
                  <c:v>383391.66260428808</c:v>
                </c:pt>
                <c:pt idx="6">
                  <c:v>398727.32910845964</c:v>
                </c:pt>
                <c:pt idx="7">
                  <c:v>414676.42227279802</c:v>
                </c:pt>
                <c:pt idx="8">
                  <c:v>431263.47916370997</c:v>
                </c:pt>
                <c:pt idx="9">
                  <c:v>448514.01833025838</c:v>
                </c:pt>
                <c:pt idx="10">
                  <c:v>466454.57906346873</c:v>
                </c:pt>
                <c:pt idx="11">
                  <c:v>485112.76222600753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0-403D-B5F1-3B7A033FC6F5}"/>
            </c:ext>
          </c:extLst>
        </c:ser>
        <c:ser>
          <c:idx val="1"/>
          <c:order val="1"/>
          <c:tx>
            <c:strRef>
              <c:f>'Table Wise Distribution'!$K$8</c:f>
              <c:strCache>
                <c:ptCount val="1"/>
                <c:pt idx="0">
                  <c:v>Sum of EBITDA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'Table Wise Distribution'!$I$9:$I$21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'Table Wise Distribution'!$K$9:$K$21</c:f>
              <c:numCache>
                <c:formatCode>0.00</c:formatCode>
                <c:ptCount val="12"/>
                <c:pt idx="0">
                  <c:v>236340</c:v>
                </c:pt>
                <c:pt idx="1">
                  <c:v>245793.59999999998</c:v>
                </c:pt>
                <c:pt idx="2">
                  <c:v>255625.34400000001</c:v>
                </c:pt>
                <c:pt idx="3">
                  <c:v>265850.35776000004</c:v>
                </c:pt>
                <c:pt idx="4">
                  <c:v>276484.37207040004</c:v>
                </c:pt>
                <c:pt idx="5">
                  <c:v>287543.74695321603</c:v>
                </c:pt>
                <c:pt idx="6">
                  <c:v>299045.49683134473</c:v>
                </c:pt>
                <c:pt idx="7">
                  <c:v>311007.31670459849</c:v>
                </c:pt>
                <c:pt idx="8">
                  <c:v>323447.60937278246</c:v>
                </c:pt>
                <c:pt idx="9">
                  <c:v>336385.51374769374</c:v>
                </c:pt>
                <c:pt idx="10">
                  <c:v>349840.93429760152</c:v>
                </c:pt>
                <c:pt idx="11">
                  <c:v>363834.57166950562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50-403D-B5F1-3B7A033FC6F5}"/>
            </c:ext>
          </c:extLst>
        </c:ser>
        <c:ser>
          <c:idx val="2"/>
          <c:order val="2"/>
          <c:tx>
            <c:strRef>
              <c:f>'Table Wise Distribution'!$L$8</c:f>
              <c:strCache>
                <c:ptCount val="1"/>
                <c:pt idx="0">
                  <c:v>Sum of Net Income</c:v>
                </c:pt>
              </c:strCache>
            </c:strRef>
          </c:tx>
          <c:spPr>
            <a:ln w="28575" cap="rnd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65000"/>
                </a:schemeClr>
              </a:solidFill>
              <a:ln w="9525">
                <a:solidFill>
                  <a:schemeClr val="accent6">
                    <a:shade val="65000"/>
                  </a:schemeClr>
                </a:solidFill>
              </a:ln>
              <a:effectLst/>
            </c:spPr>
          </c:marker>
          <c:cat>
            <c:strRef>
              <c:f>'Table Wise Distribution'!$I$9:$I$21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'Table Wise Distribution'!$L$9:$L$21</c:f>
              <c:numCache>
                <c:formatCode>0.00</c:formatCode>
                <c:ptCount val="12"/>
                <c:pt idx="0">
                  <c:v>82040</c:v>
                </c:pt>
                <c:pt idx="1">
                  <c:v>86241.599999999977</c:v>
                </c:pt>
                <c:pt idx="2">
                  <c:v>90611.263999999996</c:v>
                </c:pt>
                <c:pt idx="3">
                  <c:v>95155.714560000022</c:v>
                </c:pt>
                <c:pt idx="4">
                  <c:v>99881.943142400007</c:v>
                </c:pt>
                <c:pt idx="5">
                  <c:v>104797.22086809599</c:v>
                </c:pt>
                <c:pt idx="6">
                  <c:v>109909.10970281987</c:v>
                </c:pt>
                <c:pt idx="7">
                  <c:v>115225.47409093264</c:v>
                </c:pt>
                <c:pt idx="8">
                  <c:v>120754.49305456996</c:v>
                </c:pt>
                <c:pt idx="9">
                  <c:v>126504.67277675273</c:v>
                </c:pt>
                <c:pt idx="10">
                  <c:v>132484.85968782287</c:v>
                </c:pt>
                <c:pt idx="11">
                  <c:v>138704.2540753358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50-403D-B5F1-3B7A033FC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633696"/>
        <c:axId val="652634176"/>
      </c:lineChart>
      <c:catAx>
        <c:axId val="65263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634176"/>
        <c:crosses val="autoZero"/>
        <c:auto val="1"/>
        <c:lblAlgn val="ctr"/>
        <c:lblOffset val="100"/>
        <c:noMultiLvlLbl val="0"/>
      </c:catAx>
      <c:valAx>
        <c:axId val="652634176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in"/>
        <c:minorTickMark val="none"/>
        <c:tickLblPos val="high"/>
        <c:spPr>
          <a:noFill/>
          <a:ln>
            <a:solidFill>
              <a:schemeClr val="accent1">
                <a:shade val="1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633696"/>
        <c:crosses val="autoZero"/>
        <c:crossBetween val="between"/>
        <c:majorUnit val="100000"/>
        <c:minorUnit val="2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6200000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608784</xdr:colOff>
      <xdr:row>62</xdr:row>
      <xdr:rowOff>139360</xdr:rowOff>
    </xdr:from>
    <xdr:to>
      <xdr:col>7</xdr:col>
      <xdr:colOff>476758</xdr:colOff>
      <xdr:row>76</xdr:row>
      <xdr:rowOff>144249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8C8DEC-5A65-F61D-3B63-0B08A3E5B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432262</xdr:colOff>
      <xdr:row>0</xdr:row>
      <xdr:rowOff>166255</xdr:rowOff>
    </xdr:from>
    <xdr:to>
      <xdr:col>14</xdr:col>
      <xdr:colOff>174567</xdr:colOff>
      <xdr:row>32</xdr:row>
      <xdr:rowOff>174568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2CEDA6E-6201-9DF3-18F7-CAE668146FB4}"/>
            </a:ext>
          </a:extLst>
        </xdr:cNvPr>
        <xdr:cNvSpPr/>
      </xdr:nvSpPr>
      <xdr:spPr>
        <a:xfrm>
          <a:off x="432262" y="166255"/>
          <a:ext cx="9052560" cy="612648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0</xdr:col>
      <xdr:colOff>482138</xdr:colOff>
      <xdr:row>1</xdr:row>
      <xdr:rowOff>74814</xdr:rowOff>
    </xdr:from>
    <xdr:to>
      <xdr:col>14</xdr:col>
      <xdr:colOff>83127</xdr:colOff>
      <xdr:row>4</xdr:row>
      <xdr:rowOff>33251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87A29D-31C7-6C85-3EC2-21A5FBD0C69B}"/>
            </a:ext>
          </a:extLst>
        </xdr:cNvPr>
        <xdr:cNvSpPr/>
      </xdr:nvSpPr>
      <xdr:spPr>
        <a:xfrm>
          <a:off x="482138" y="266007"/>
          <a:ext cx="8911244" cy="53201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accent6">
                  <a:lumMod val="50000"/>
                </a:schemeClr>
              </a:solidFill>
            </a:rPr>
            <a:t>COTMX FORECAST REPORT 2024</a:t>
          </a:r>
        </a:p>
      </xdr:txBody>
    </xdr:sp>
    <xdr:clientData/>
  </xdr:twoCellAnchor>
  <xdr:twoCellAnchor>
    <xdr:from>
      <xdr:col>0</xdr:col>
      <xdr:colOff>490451</xdr:colOff>
      <xdr:row>4</xdr:row>
      <xdr:rowOff>116378</xdr:rowOff>
    </xdr:from>
    <xdr:to>
      <xdr:col>14</xdr:col>
      <xdr:colOff>83127</xdr:colOff>
      <xdr:row>9</xdr:row>
      <xdr:rowOff>166255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7AF5A30C-2CBD-968C-7146-E441310B1BA7}"/>
            </a:ext>
          </a:extLst>
        </xdr:cNvPr>
        <xdr:cNvGrpSpPr/>
      </xdr:nvGrpSpPr>
      <xdr:grpSpPr>
        <a:xfrm>
          <a:off x="490451" y="894591"/>
          <a:ext cx="8878170" cy="1022643"/>
          <a:chOff x="490450" y="839585"/>
          <a:chExt cx="8345980" cy="1005841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A37D133D-520D-910E-C931-85E6B637D980}"/>
              </a:ext>
            </a:extLst>
          </xdr:cNvPr>
          <xdr:cNvGrpSpPr/>
        </xdr:nvGrpSpPr>
        <xdr:grpSpPr>
          <a:xfrm>
            <a:off x="490450" y="839585"/>
            <a:ext cx="2011681" cy="1005840"/>
            <a:chOff x="10715106" y="2302626"/>
            <a:chExt cx="1521229" cy="864523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3AD9C0FF-48E0-6F57-6F15-DF54211743B2}"/>
                </a:ext>
              </a:extLst>
            </xdr:cNvPr>
            <xdr:cNvSpPr/>
          </xdr:nvSpPr>
          <xdr:spPr>
            <a:xfrm>
              <a:off x="10715106" y="2302626"/>
              <a:ext cx="1521229" cy="864523"/>
            </a:xfrm>
            <a:prstGeom prst="rect">
              <a:avLst/>
            </a:prstGeom>
            <a:solidFill>
              <a:sysClr val="window" lastClr="FFFFFF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100"/>
            </a:p>
          </xdr:txBody>
        </xdr:sp>
        <xdr:sp macro="" textlink="'Table Wise Distribution'!B5">
          <xdr:nvSpPr>
            <xdr:cNvPr id="6" name="TextBox 5">
              <a:extLst>
                <a:ext uri="{FF2B5EF4-FFF2-40B4-BE49-F238E27FC236}">
                  <a16:creationId xmlns:a16="http://schemas.microsoft.com/office/drawing/2014/main" id="{CCEBF945-8AFA-CFA6-178B-31E3BA41B427}"/>
                </a:ext>
              </a:extLst>
            </xdr:cNvPr>
            <xdr:cNvSpPr txBox="1"/>
          </xdr:nvSpPr>
          <xdr:spPr>
            <a:xfrm>
              <a:off x="10931239" y="2685011"/>
              <a:ext cx="1088966" cy="29094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922AA72B-78C2-4573-8C35-9287C710E7A4}" type="TxLink">
                <a:rPr lang="en-US" sz="2400" b="1" i="0" u="none" strike="noStrike">
                  <a:solidFill>
                    <a:srgbClr val="70AD47"/>
                  </a:solidFill>
                  <a:latin typeface="Calibri"/>
                  <a:ea typeface="Calibri"/>
                  <a:cs typeface="Calibri"/>
                </a:rPr>
                <a:pPr algn="ctr"/>
                <a:t>7.89 M</a:t>
              </a:fld>
              <a:endParaRPr lang="en-IN" sz="2400" b="1"/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D7ECC06-56C7-CA0C-C709-F0E555850E6C}"/>
                </a:ext>
              </a:extLst>
            </xdr:cNvPr>
            <xdr:cNvSpPr txBox="1"/>
          </xdr:nvSpPr>
          <xdr:spPr>
            <a:xfrm>
              <a:off x="10914611" y="2443942"/>
              <a:ext cx="1088967" cy="25769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/>
                <a:t>Total Sales</a:t>
              </a: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14D35408-8690-4C39-8383-EA8849AB0BC4}"/>
              </a:ext>
            </a:extLst>
          </xdr:cNvPr>
          <xdr:cNvGrpSpPr/>
        </xdr:nvGrpSpPr>
        <xdr:grpSpPr>
          <a:xfrm>
            <a:off x="2601883" y="839586"/>
            <a:ext cx="2011681" cy="1005840"/>
            <a:chOff x="10715106" y="2302626"/>
            <a:chExt cx="1521229" cy="864523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E580E17-D48D-3484-4D4E-9AAB1D17B019}"/>
                </a:ext>
              </a:extLst>
            </xdr:cNvPr>
            <xdr:cNvSpPr/>
          </xdr:nvSpPr>
          <xdr:spPr>
            <a:xfrm>
              <a:off x="10715106" y="2302626"/>
              <a:ext cx="1521229" cy="864523"/>
            </a:xfrm>
            <a:prstGeom prst="rect">
              <a:avLst/>
            </a:prstGeom>
            <a:solidFill>
              <a:sysClr val="window" lastClr="FFFFFF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100"/>
            </a:p>
          </xdr:txBody>
        </xdr:sp>
        <xdr:sp macro="" textlink="'Table Wise Distribution'!C5">
          <xdr:nvSpPr>
            <xdr:cNvPr id="16" name="TextBox 15">
              <a:extLst>
                <a:ext uri="{FF2B5EF4-FFF2-40B4-BE49-F238E27FC236}">
                  <a16:creationId xmlns:a16="http://schemas.microsoft.com/office/drawing/2014/main" id="{F197D87F-C070-FA2D-7A16-313BE0F73AEC}"/>
                </a:ext>
              </a:extLst>
            </xdr:cNvPr>
            <xdr:cNvSpPr txBox="1"/>
          </xdr:nvSpPr>
          <xdr:spPr>
            <a:xfrm>
              <a:off x="10931239" y="2685011"/>
              <a:ext cx="1088966" cy="29094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EBEA0A0C-9A06-4A47-BF1D-A64770DEF9F9}" type="TxLink">
                <a:rPr lang="en-US" sz="2400" b="1" i="0" u="none" strike="noStrike">
                  <a:solidFill>
                    <a:srgbClr val="70AD47"/>
                  </a:solidFill>
                  <a:latin typeface="Calibri"/>
                  <a:ea typeface="Calibri"/>
                  <a:cs typeface="Calibri"/>
                </a:rPr>
                <a:pPr algn="ctr"/>
                <a:t>4.73 M</a:t>
              </a:fld>
              <a:endParaRPr lang="en-IN" sz="2400" b="1"/>
            </a:p>
          </xdr:txBody>
        </xdr: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17D03F4-3E6F-56B2-2952-5C3AA288C936}"/>
                </a:ext>
              </a:extLst>
            </xdr:cNvPr>
            <xdr:cNvSpPr txBox="1"/>
          </xdr:nvSpPr>
          <xdr:spPr>
            <a:xfrm>
              <a:off x="10914611" y="2443942"/>
              <a:ext cx="1088967" cy="25769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/>
                <a:t>Gross</a:t>
              </a:r>
              <a:r>
                <a:rPr lang="en-IN" sz="1600" b="1" baseline="0"/>
                <a:t> Profit</a:t>
              </a: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9D52965F-CCBC-4A1B-A567-8EC24733518A}"/>
              </a:ext>
            </a:extLst>
          </xdr:cNvPr>
          <xdr:cNvGrpSpPr/>
        </xdr:nvGrpSpPr>
        <xdr:grpSpPr>
          <a:xfrm>
            <a:off x="4713316" y="839586"/>
            <a:ext cx="2011681" cy="1005840"/>
            <a:chOff x="10715106" y="2302626"/>
            <a:chExt cx="1521229" cy="864523"/>
          </a:xfrm>
        </xdr:grpSpPr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17A72AF8-3AC0-8688-0AA6-49292344E78A}"/>
                </a:ext>
              </a:extLst>
            </xdr:cNvPr>
            <xdr:cNvSpPr/>
          </xdr:nvSpPr>
          <xdr:spPr>
            <a:xfrm>
              <a:off x="10715106" y="2302626"/>
              <a:ext cx="1521229" cy="864523"/>
            </a:xfrm>
            <a:prstGeom prst="rect">
              <a:avLst/>
            </a:prstGeom>
            <a:solidFill>
              <a:sysClr val="window" lastClr="FFFFFF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100"/>
            </a:p>
          </xdr:txBody>
        </xdr:sp>
        <xdr:sp macro="" textlink="'Table Wise Distribution'!D5">
          <xdr:nvSpPr>
            <xdr:cNvPr id="21" name="TextBox 20">
              <a:extLst>
                <a:ext uri="{FF2B5EF4-FFF2-40B4-BE49-F238E27FC236}">
                  <a16:creationId xmlns:a16="http://schemas.microsoft.com/office/drawing/2014/main" id="{12885A32-B0BB-B45E-3CF4-88F69C90DCC2}"/>
                </a:ext>
              </a:extLst>
            </xdr:cNvPr>
            <xdr:cNvSpPr txBox="1"/>
          </xdr:nvSpPr>
          <xdr:spPr>
            <a:xfrm>
              <a:off x="10931239" y="2685011"/>
              <a:ext cx="1088966" cy="29094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19363819-6780-40E9-B100-F07A85B68742}" type="TxLink">
                <a:rPr lang="en-US" sz="2400" b="1" i="0" u="none" strike="noStrike">
                  <a:solidFill>
                    <a:srgbClr val="70AD47"/>
                  </a:solidFill>
                  <a:latin typeface="Calibri"/>
                  <a:ea typeface="Calibri"/>
                  <a:cs typeface="Calibri"/>
                </a:rPr>
                <a:pPr algn="ctr"/>
                <a:t>1.30 M</a:t>
              </a:fld>
              <a:endParaRPr lang="en-IN" sz="2400" b="1"/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8A66AB1-52A4-A70C-EA7E-82DEE70AB707}"/>
                </a:ext>
              </a:extLst>
            </xdr:cNvPr>
            <xdr:cNvSpPr txBox="1"/>
          </xdr:nvSpPr>
          <xdr:spPr>
            <a:xfrm>
              <a:off x="10914611" y="2443942"/>
              <a:ext cx="1088967" cy="25769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/>
                <a:t>Net Income</a:t>
              </a:r>
              <a:endParaRPr lang="en-IN" sz="1600" b="1" baseline="0"/>
            </a:p>
          </xdr:txBody>
        </xdr:sp>
      </xdr:grp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E1EB18E5-7447-47F7-BA0C-866BFA053858}"/>
              </a:ext>
            </a:extLst>
          </xdr:cNvPr>
          <xdr:cNvGrpSpPr/>
        </xdr:nvGrpSpPr>
        <xdr:grpSpPr>
          <a:xfrm>
            <a:off x="6824749" y="839585"/>
            <a:ext cx="2011681" cy="1005840"/>
            <a:chOff x="10715106" y="2302626"/>
            <a:chExt cx="1521229" cy="864523"/>
          </a:xfrm>
        </xdr:grpSpPr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C51B1ED0-5041-C0D3-16D0-4DA35F2E7C9A}"/>
                </a:ext>
              </a:extLst>
            </xdr:cNvPr>
            <xdr:cNvSpPr/>
          </xdr:nvSpPr>
          <xdr:spPr>
            <a:xfrm>
              <a:off x="10715106" y="2302626"/>
              <a:ext cx="1521229" cy="864523"/>
            </a:xfrm>
            <a:prstGeom prst="rect">
              <a:avLst/>
            </a:prstGeom>
            <a:solidFill>
              <a:sysClr val="window" lastClr="FFFFFF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100"/>
            </a:p>
          </xdr:txBody>
        </xdr:sp>
        <xdr:sp macro="" textlink="'Table Wise Distribution'!E5">
          <xdr:nvSpPr>
            <xdr:cNvPr id="25" name="TextBox 24">
              <a:extLst>
                <a:ext uri="{FF2B5EF4-FFF2-40B4-BE49-F238E27FC236}">
                  <a16:creationId xmlns:a16="http://schemas.microsoft.com/office/drawing/2014/main" id="{AFBC5A7F-B5B2-688B-6140-98DEFA439952}"/>
                </a:ext>
              </a:extLst>
            </xdr:cNvPr>
            <xdr:cNvSpPr txBox="1"/>
          </xdr:nvSpPr>
          <xdr:spPr>
            <a:xfrm>
              <a:off x="10931239" y="2685011"/>
              <a:ext cx="1088966" cy="29094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C612E770-2FAF-46FB-8058-8112BF01E588}" type="TxLink">
                <a:rPr lang="en-US" sz="2400" b="1" i="0" u="none" strike="noStrike">
                  <a:solidFill>
                    <a:srgbClr val="70AD47"/>
                  </a:solidFill>
                  <a:latin typeface="Calibri"/>
                  <a:ea typeface="Calibri"/>
                  <a:cs typeface="Calibri"/>
                </a:rPr>
                <a:pPr algn="ctr"/>
                <a:t>3.55 M</a:t>
              </a:fld>
              <a:endParaRPr lang="en-IN" sz="2400" b="1"/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6A0F6A64-A6E1-22AE-19C8-A7C053F36852}"/>
                </a:ext>
              </a:extLst>
            </xdr:cNvPr>
            <xdr:cNvSpPr txBox="1"/>
          </xdr:nvSpPr>
          <xdr:spPr>
            <a:xfrm>
              <a:off x="10914611" y="2443942"/>
              <a:ext cx="1088967" cy="25769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 baseline="0"/>
                <a:t>Total EBITDA</a:t>
              </a:r>
            </a:p>
          </xdr:txBody>
        </xdr:sp>
      </xdr:grpSp>
    </xdr:grpSp>
    <xdr:clientData/>
  </xdr:twoCellAnchor>
  <xdr:twoCellAnchor>
    <xdr:from>
      <xdr:col>0</xdr:col>
      <xdr:colOff>507076</xdr:colOff>
      <xdr:row>10</xdr:row>
      <xdr:rowOff>91441</xdr:rowOff>
    </xdr:from>
    <xdr:to>
      <xdr:col>7</xdr:col>
      <xdr:colOff>257695</xdr:colOff>
      <xdr:row>20</xdr:row>
      <xdr:rowOff>49876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C1C987D-AFAF-4E04-B533-9AF38BEF4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374074</xdr:colOff>
      <xdr:row>10</xdr:row>
      <xdr:rowOff>74816</xdr:rowOff>
    </xdr:from>
    <xdr:to>
      <xdr:col>14</xdr:col>
      <xdr:colOff>116378</xdr:colOff>
      <xdr:row>20</xdr:row>
      <xdr:rowOff>41563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6DF0DA0-DF34-4133-B86F-3A9215FE0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515389</xdr:colOff>
      <xdr:row>20</xdr:row>
      <xdr:rowOff>166254</xdr:rowOff>
    </xdr:from>
    <xdr:to>
      <xdr:col>14</xdr:col>
      <xdr:colOff>91440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63C312-C69C-4A09-8A16-89B01CF3C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tam Ghosh" refreshedDate="45981.593612500001" createdVersion="8" refreshedVersion="8" minRefreshableVersion="3" recordCount="12" xr:uid="{52A1E009-0AC2-4512-872A-ED654D6A2FB3}">
  <cacheSource type="worksheet">
    <worksheetSource name="Table2"/>
  </cacheSource>
  <cacheFields count="15">
    <cacheField name="Month" numFmtId="14">
      <sharedItems containsSemiMixedTypes="0" containsNonDate="0" containsDate="1" containsString="0" minDate="2024-01-01T00:00:00" maxDate="2024-12-02T00:00:00" count="12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fieldGroup par="14"/>
    </cacheField>
    <cacheField name="Revenue" numFmtId="2">
      <sharedItems containsSemiMixedTypes="0" containsString="0" containsNumber="1" minValue="525200" maxValue="808521.27037667925" count="12">
        <n v="525200"/>
        <n v="546208"/>
        <n v="568056.32000000007"/>
        <n v="590778.57280000008"/>
        <n v="614409.71571200015"/>
        <n v="638986.10434048017"/>
        <n v="664545.54851409944"/>
        <n v="691127.37045466341"/>
        <n v="718772.46527285001"/>
        <n v="747523.36388376402"/>
        <n v="777424.29843911459"/>
        <n v="808521.27037667925"/>
      </sharedItems>
    </cacheField>
    <cacheField name="COGS" numFmtId="2">
      <sharedItems containsSemiMixedTypes="0" containsString="0" containsNumber="1" minValue="210080" maxValue="323408.50815067173"/>
    </cacheField>
    <cacheField name="Operating Expenses" numFmtId="2">
      <sharedItems containsSemiMixedTypes="0" containsString="0" containsNumber="1" minValue="10504" maxValue="16170.425407533585"/>
    </cacheField>
    <cacheField name="Marketing" numFmtId="2">
      <sharedItems containsSemiMixedTypes="0" containsString="0" containsNumber="1" minValue="42016" maxValue="64681.701630134339"/>
    </cacheField>
    <cacheField name="Other expenses" numFmtId="2">
      <sharedItems containsSemiMixedTypes="0" containsString="0" containsNumber="1" minValue="26260" maxValue="40426.063518833966"/>
    </cacheField>
    <cacheField name="Gross Profit" numFmtId="2">
      <sharedItems containsSemiMixedTypes="0" containsString="0" containsNumber="1" minValue="315120" maxValue="485112.76222600753"/>
    </cacheField>
    <cacheField name="EBITDA" numFmtId="2">
      <sharedItems containsSemiMixedTypes="0" containsString="0" containsNumber="1" minValue="236340" maxValue="363834.57166950562"/>
    </cacheField>
    <cacheField name="Depreaciation" numFmtId="2">
      <sharedItems containsSemiMixedTypes="0" containsString="0" containsNumber="1" containsInteger="1" minValue="15000" maxValue="15000"/>
    </cacheField>
    <cacheField name="Intrest" numFmtId="2">
      <sharedItems containsSemiMixedTypes="0" containsString="0" containsNumber="1" containsInteger="1" minValue="8000" maxValue="8000"/>
    </cacheField>
    <cacheField name="EBT" numFmtId="2">
      <sharedItems containsSemiMixedTypes="0" containsString="0" containsNumber="1" minValue="213340" maxValue="340834.57166950562"/>
    </cacheField>
    <cacheField name="Taxes" numFmtId="2">
      <sharedItems containsSemiMixedTypes="0" containsString="0" containsNumber="1" minValue="131300" maxValue="202130.31759416981"/>
    </cacheField>
    <cacheField name="Net Income" numFmtId="2">
      <sharedItems containsSemiMixedTypes="0" containsString="0" containsNumber="1" minValue="82040" maxValue="138704.2540753358" count="12">
        <n v="82040"/>
        <n v="86241.599999999977"/>
        <n v="90611.263999999996"/>
        <n v="95155.714560000022"/>
        <n v="99881.943142400007"/>
        <n v="104797.22086809599"/>
        <n v="109909.10970281987"/>
        <n v="115225.47409093264"/>
        <n v="120754.49305456996"/>
        <n v="126504.67277675273"/>
        <n v="132484.85968782287"/>
        <n v="138704.2540753358"/>
      </sharedItems>
    </cacheField>
    <cacheField name="Days (Month)" numFmtId="0" databaseField="0">
      <fieldGroup base="0">
        <rangePr groupBy="days" startDate="2024-01-01T00:00:00" endDate="2024-12-02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4"/>
        </groupItems>
      </fieldGroup>
    </cacheField>
    <cacheField name="Months (Month)" numFmtId="0" databaseField="0">
      <fieldGroup base="0">
        <rangePr groupBy="months" startDate="2024-01-01T00:00:00" endDate="2024-12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4"/>
        </groupItems>
      </fieldGroup>
    </cacheField>
  </cacheFields>
  <extLst>
    <ext xmlns:x14="http://schemas.microsoft.com/office/spreadsheetml/2009/9/main" uri="{725AE2AE-9491-48be-B2B4-4EB974FC3084}">
      <x14:pivotCacheDefinition pivotCacheId="8359698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210080"/>
    <n v="10504"/>
    <n v="42016"/>
    <n v="26260"/>
    <n v="315120"/>
    <n v="236340"/>
    <n v="15000"/>
    <n v="8000"/>
    <n v="213340"/>
    <n v="131300"/>
    <x v="0"/>
  </r>
  <r>
    <x v="1"/>
    <x v="1"/>
    <n v="218483.20000000001"/>
    <n v="10924.16"/>
    <n v="43696.639999999999"/>
    <n v="27310.400000000001"/>
    <n v="327724.79999999999"/>
    <n v="245793.59999999998"/>
    <n v="15000"/>
    <n v="8000"/>
    <n v="222793.59999999998"/>
    <n v="136552"/>
    <x v="1"/>
  </r>
  <r>
    <x v="2"/>
    <x v="2"/>
    <n v="227222.52800000005"/>
    <n v="11361.126400000001"/>
    <n v="45444.505600000004"/>
    <n v="28402.816000000006"/>
    <n v="340833.79200000002"/>
    <n v="255625.34400000001"/>
    <n v="15000"/>
    <n v="8000"/>
    <n v="232625.34400000001"/>
    <n v="142014.08000000002"/>
    <x v="2"/>
  </r>
  <r>
    <x v="3"/>
    <x v="3"/>
    <n v="236311.42912000004"/>
    <n v="11815.571456000001"/>
    <n v="47262.285824000006"/>
    <n v="29538.928640000006"/>
    <n v="354467.14368000004"/>
    <n v="265850.35776000004"/>
    <n v="15000"/>
    <n v="8000"/>
    <n v="242850.35776000004"/>
    <n v="147694.64320000002"/>
    <x v="3"/>
  </r>
  <r>
    <x v="4"/>
    <x v="4"/>
    <n v="245763.88628480007"/>
    <n v="12288.194314240003"/>
    <n v="49152.777256960013"/>
    <n v="30720.485785600009"/>
    <n v="368645.82942720008"/>
    <n v="276484.37207040004"/>
    <n v="15000"/>
    <n v="8000"/>
    <n v="253484.37207040004"/>
    <n v="153602.42892800004"/>
    <x v="4"/>
  </r>
  <r>
    <x v="5"/>
    <x v="5"/>
    <n v="255594.44173619209"/>
    <n v="12779.722086809605"/>
    <n v="51118.888347238419"/>
    <n v="31949.305217024012"/>
    <n v="383391.66260428808"/>
    <n v="287543.74695321603"/>
    <n v="15000"/>
    <n v="8000"/>
    <n v="264543.74695321603"/>
    <n v="159746.52608512004"/>
    <x v="5"/>
  </r>
  <r>
    <x v="6"/>
    <x v="6"/>
    <n v="265818.2194056398"/>
    <n v="13290.91097028199"/>
    <n v="53163.643881127959"/>
    <n v="33227.277425704975"/>
    <n v="398727.32910845964"/>
    <n v="299045.49683134473"/>
    <n v="15000"/>
    <n v="8000"/>
    <n v="276045.49683134473"/>
    <n v="166136.38712852486"/>
    <x v="6"/>
  </r>
  <r>
    <x v="7"/>
    <x v="7"/>
    <n v="276450.94818186539"/>
    <n v="13822.547409093269"/>
    <n v="55290.189636373078"/>
    <n v="34556.368522733173"/>
    <n v="414676.42227279802"/>
    <n v="311007.31670459849"/>
    <n v="15000"/>
    <n v="8000"/>
    <n v="288007.31670459849"/>
    <n v="172781.84261366585"/>
    <x v="7"/>
  </r>
  <r>
    <x v="8"/>
    <x v="8"/>
    <n v="287508.98610914004"/>
    <n v="14375.449305457001"/>
    <n v="57501.797221828005"/>
    <n v="35938.623263642505"/>
    <n v="431263.47916370997"/>
    <n v="323447.60937278246"/>
    <n v="15000"/>
    <n v="8000"/>
    <n v="300447.60937278246"/>
    <n v="179693.1163182125"/>
    <x v="8"/>
  </r>
  <r>
    <x v="9"/>
    <x v="9"/>
    <n v="299009.34555350564"/>
    <n v="14950.467277675281"/>
    <n v="59801.869110701125"/>
    <n v="37376.168194188205"/>
    <n v="448514.01833025838"/>
    <n v="336385.51374769374"/>
    <n v="15000"/>
    <n v="8000"/>
    <n v="313385.51374769374"/>
    <n v="186880.840970941"/>
    <x v="9"/>
  </r>
  <r>
    <x v="10"/>
    <x v="10"/>
    <n v="310969.71937564586"/>
    <n v="15548.485968782292"/>
    <n v="62193.943875129167"/>
    <n v="38871.214921955732"/>
    <n v="466454.57906346873"/>
    <n v="349840.93429760152"/>
    <n v="15000"/>
    <n v="8000"/>
    <n v="326840.93429760152"/>
    <n v="194356.07460977865"/>
    <x v="10"/>
  </r>
  <r>
    <x v="11"/>
    <x v="11"/>
    <n v="323408.50815067173"/>
    <n v="16170.425407533585"/>
    <n v="64681.701630134339"/>
    <n v="40426.063518833966"/>
    <n v="485112.76222600753"/>
    <n v="363834.57166950562"/>
    <n v="15000"/>
    <n v="8000"/>
    <n v="340834.57166950562"/>
    <n v="202130.3175941698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41D02-1004-4456-8702-33475C82504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60:E61" firstHeaderRow="0" firstDataRow="1" firstDataCol="0"/>
  <pivotFields count="15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2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1" baseField="0" baseItem="0" numFmtId="2"/>
    <dataField name="Sum of COGS" fld="2" baseField="0" baseItem="0" numFmtId="2"/>
    <dataField name="Sum of Gross Profit" fld="6" baseField="0" baseItem="0" numFmtId="2"/>
    <dataField name="Sum of Net Income" fld="12" baseField="0" baseItem="0" numFmtId="2"/>
  </dataFields>
  <formats count="4">
    <format dxfId="116">
      <pivotArea type="all" dataOnly="0" outline="0" fieldPosition="0"/>
    </format>
    <format dxfId="115">
      <pivotArea outline="0" collapsedLevelsAreSubtotals="1" fieldPosition="0"/>
    </format>
    <format dxfId="1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EFFBC-3DFD-4524-8678-B0F110AFEA2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5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EBITDA" fld="7" baseField="0" baseItem="0" numFmtId="2"/>
  </dataFields>
  <formats count="12">
    <format dxfId="37">
      <pivotArea dataOnly="0" labelOnly="1" outline="0" axis="axisValues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dataOnly="0" labelOnly="1" outline="0" axis="axisValues" fieldPosition="0"/>
    </format>
    <format dxfId="41">
      <pivotArea outline="0" collapsedLevelsAreSubtotals="1" fieldPosition="0"/>
    </format>
    <format dxfId="42">
      <pivotArea dataOnly="0" labelOnly="1" outline="0" axis="axisValues" fieldPosition="0"/>
    </format>
    <format dxfId="43">
      <pivotArea outline="0" collapsedLevelsAreSubtotals="1" fieldPosition="0"/>
    </format>
    <format dxfId="44">
      <pivotArea outline="0" collapsedLevelsAreSubtotals="1" fieldPosition="0"/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dataOnly="0" labelOnly="1" outline="0" axis="axisValues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05A6B-3CF1-4E76-BB93-C64D543A3CC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2024 Year">
  <location ref="E8:G21" firstHeaderRow="0" firstDataRow="1" firstDataCol="1"/>
  <pivotFields count="15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1" baseField="0" baseItem="0" numFmtId="2"/>
    <dataField name="Total COGS" fld="2" baseField="0" baseItem="0" numFmtId="2"/>
  </dataFields>
  <formats count="16">
    <format dxfId="120">
      <pivotArea collapsedLevelsAreSubtotals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9">
      <pivotArea field="14" type="button" dataOnly="0" labelOnly="1" outline="0" axis="axisRow" fieldPosition="0"/>
    </format>
    <format dxfId="118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14" type="button" dataOnly="0" labelOnly="1" outline="0" axis="axisRow" fieldPosition="0"/>
    </format>
    <format dxfId="109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8">
      <pivotArea dataOnly="0" labelOnly="1" grandRow="1" outline="0" fieldPosition="0"/>
    </format>
    <format dxfId="1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14" type="button" dataOnly="0" labelOnly="1" outline="0" axis="axisRow" fieldPosition="0"/>
    </format>
    <format dxfId="93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563A8-888D-488C-A1FD-2BA8A87F3F8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2024 Year">
  <location ref="B8:C21" firstHeaderRow="1" firstDataRow="1" firstDataCol="1"/>
  <pivotFields count="15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" baseField="0" baseItem="0" numFmtId="2"/>
  </dataFields>
  <formats count="12"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14" type="button" dataOnly="0" labelOnly="1" outline="0" axis="axisRow" fieldPosition="0"/>
    </format>
    <format dxfId="179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78">
      <pivotArea dataOnly="0" labelOnly="1" grandRow="1" outline="0" fieldPosition="0"/>
    </format>
    <format dxfId="177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14" type="button" dataOnly="0" labelOnly="1" outline="0" axis="axisRow" fieldPosition="0"/>
    </format>
    <format dxfId="172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71">
      <pivotArea dataOnly="0" labelOnly="1" grandRow="1" outline="0" fieldPosition="0"/>
    </format>
    <format dxfId="17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99B76-F919-47D0-BF43-74674E19422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3:B4" firstHeaderRow="1" firstDataRow="1" firstDataCol="0"/>
  <pivotFields count="15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2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Revenue" fld="1" baseField="0" baseItem="0" numFmtId="2"/>
  </dataFields>
  <formats count="12">
    <format dxfId="25">
      <pivotArea dataOnly="0" labelOnly="1" outline="0" axis="axisValues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dataOnly="0" labelOnly="1" outline="0" axis="axisValues" fieldPosition="0"/>
    </format>
    <format dxfId="29">
      <pivotArea outline="0" collapsedLevelsAreSubtotals="1" fieldPosition="0"/>
    </format>
    <format dxfId="30">
      <pivotArea dataOnly="0" labelOnly="1" outline="0" axis="axisValues" fieldPosition="0"/>
    </format>
    <format dxfId="31">
      <pivotArea outline="0" collapsedLevelsAreSubtotals="1" fieldPosition="0"/>
    </format>
    <format dxfId="32">
      <pivotArea outline="0" collapsedLevelsAreSubtotals="1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dataOnly="0" labelOnly="1" outline="0" axis="axisValues" fieldPosition="0"/>
    </format>
    <format dxfId="36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37607-33D6-450C-B500-DEA69931872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2024 Year">
  <location ref="I8:L21" firstHeaderRow="0" firstDataRow="1" firstDataCol="1"/>
  <pivotFields count="15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  <pivotField numFmtId="2" showAll="0"/>
    <pivotField numFmtId="2" showAll="0"/>
    <pivotField numFmtId="2" showAll="0"/>
    <pivotField numFmtId="2" showAll="0"/>
    <pivotField dataField="1" numFmtId="2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ross Profit" fld="6" baseField="0" baseItem="0" numFmtId="2"/>
    <dataField name="Sum of EBITDA" fld="7" baseField="0" baseItem="0" numFmtId="2"/>
    <dataField name="Sum of Net Income" fld="12" baseField="0" baseItem="0" numFmtId="2"/>
  </dataFields>
  <formats count="12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4" type="button" dataOnly="0" labelOnly="1" outline="0" axis="axisRow" fieldPosition="0"/>
    </format>
    <format dxfId="87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6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4" type="button" dataOnly="0" labelOnly="1" outline="0" axis="axisRow" fieldPosition="0"/>
    </format>
    <format dxfId="81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FAA8B-E919-495F-BAE1-ECC1E4002BC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5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Gross Profit" fld="6" baseField="0" baseItem="0" numFmtId="2"/>
  </dataFields>
  <formats count="12">
    <format dxfId="13">
      <pivotArea dataOnly="0" labelOnly="1" outline="0" axis="axisValues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dataOnly="0" labelOnly="1" outline="0" axis="axisValues" fieldPosition="0"/>
    </format>
    <format dxfId="17">
      <pivotArea outline="0" collapsedLevelsAreSubtotals="1" fieldPosition="0"/>
    </format>
    <format dxfId="18">
      <pivotArea dataOnly="0" labelOnly="1" outline="0" axis="axisValues" fieldPosition="0"/>
    </format>
    <format dxfId="19">
      <pivotArea outline="0" collapsedLevelsAreSubtotals="1" fieldPosition="0"/>
    </format>
    <format dxfId="20">
      <pivotArea outline="0" collapsedLevelsAreSubtotals="1" fieldPosition="0"/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dataOnly="0" labelOnly="1" outline="0" axis="axisValues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91EA9-C81E-4307-8DA8-8F36A4ED07D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15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Net Income" fld="12" baseField="0" baseItem="0" numFmtId="2"/>
  </dataFields>
  <formats count="12">
    <format dxfId="1">
      <pivotArea dataOnly="0" labelOnly="1" outline="0" axis="axisValues" fieldPosition="0"/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dataOnly="0" labelOnly="1" outline="0" axis="axisValues" fieldPosition="0"/>
    </format>
    <format dxfId="5">
      <pivotArea outline="0" collapsedLevelsAreSubtotals="1" fieldPosition="0"/>
    </format>
    <format dxfId="6">
      <pivotArea dataOnly="0" labelOnly="1" outline="0" axis="axisValues" fieldPosition="0"/>
    </format>
    <format dxfId="7">
      <pivotArea outline="0" collapsedLevelsAreSubtotals="1" fieldPosition="0"/>
    </format>
    <format dxfId="8">
      <pivotArea outline="0" collapsedLevelsAreSubtotals="1" fieldPosition="0"/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dataOnly="0" labelOnly="1" outline="0" axis="axisValues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BDF6E1-09A8-4F01-A7B0-7582802F5695}" name="Table2" displayName="Table2" ref="A2:M14" totalsRowShown="0" headerRowDxfId="0" dataDxfId="204">
  <autoFilter ref="A2:M14" xr:uid="{A4BDF6E1-09A8-4F01-A7B0-7582802F5695}"/>
  <tableColumns count="13">
    <tableColumn id="1" xr3:uid="{8F8DE4A7-EE1A-410A-BB67-7A04188C30F4}" name="Month" dataDxfId="203"/>
    <tableColumn id="2" xr3:uid="{52750D21-0A9B-4780-81DB-0B2C5039B8EA}" name="Revenue" dataDxfId="202">
      <calculatedColumnFormula>B2*(1+Assumptions!$B$3)</calculatedColumnFormula>
    </tableColumn>
    <tableColumn id="3" xr3:uid="{F3184F2D-8AF9-4820-8B7D-ED3B09A89DB6}" name="COGS" dataDxfId="201">
      <calculatedColumnFormula>B3*Assumptions!$B$4</calculatedColumnFormula>
    </tableColumn>
    <tableColumn id="4" xr3:uid="{8CE87BED-D2D5-42B9-A0E9-7E5D5120B525}" name="Operating Expenses" dataDxfId="200">
      <calculatedColumnFormula>B3*Assumptions!$B$5</calculatedColumnFormula>
    </tableColumn>
    <tableColumn id="5" xr3:uid="{CCC681F3-DAB6-4078-97AD-B7B9886FE485}" name="Marketing" dataDxfId="199">
      <calculatedColumnFormula>B3*Assumptions!$B$6</calculatedColumnFormula>
    </tableColumn>
    <tableColumn id="6" xr3:uid="{D1D8F8A7-0E8A-468E-AA66-783B5327106A}" name="Other expenses" dataDxfId="198">
      <calculatedColumnFormula>B3*Assumptions!$B$7</calculatedColumnFormula>
    </tableColumn>
    <tableColumn id="7" xr3:uid="{352B88BB-A2EC-45AD-A8DA-A919D2B22124}" name="Gross Profit" dataDxfId="197">
      <calculatedColumnFormula>B3-C3</calculatedColumnFormula>
    </tableColumn>
    <tableColumn id="8" xr3:uid="{EE03BD4C-D126-4418-83CC-CEC46A79DB4D}" name="EBITDA" dataDxfId="196">
      <calculatedColumnFormula>G3-(D3+E3+F3)</calculatedColumnFormula>
    </tableColumn>
    <tableColumn id="9" xr3:uid="{10DE8EAF-2FD5-4AD3-A966-755E57A12705}" name="Depreaciation" dataDxfId="195"/>
    <tableColumn id="10" xr3:uid="{F9E429C0-7DCE-4B46-B0A6-FC30A07B2EBA}" name="Intrest" dataDxfId="194"/>
    <tableColumn id="11" xr3:uid="{1FAD4BF2-0458-485B-81B0-B00B2B861EA2}" name="EBT" dataDxfId="193">
      <calculatedColumnFormula xml:space="preserve"> H3 - I3 - J3</calculatedColumnFormula>
    </tableColumn>
    <tableColumn id="12" xr3:uid="{518D55EE-F8DC-4E8C-A36E-59CFE8CA273C}" name="Taxes" dataDxfId="192">
      <calculatedColumnFormula>B3*Assumptions!$B$8</calculatedColumnFormula>
    </tableColumn>
    <tableColumn id="13" xr3:uid="{0F45C1EE-72DF-4188-8236-AFECED70A9F2}" name="Net Income" dataDxfId="191">
      <calculatedColumnFormula xml:space="preserve"> K3 - L3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1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D76A62-49ED-48BD-B8EB-4F0992B5062E}">
  <we:reference id="wa200006009" version="2.1.2.10" store="en-US" storeType="OMEX"/>
  <we:alternateReferences>
    <we:reference id="wa200006009" version="2.1.2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41C7-404B-49FE-99DF-E71F5308FF77}">
  <dimension ref="A1:F14"/>
  <sheetViews>
    <sheetView workbookViewId="0">
      <selection activeCell="F22" sqref="F22"/>
    </sheetView>
  </sheetViews>
  <sheetFormatPr defaultRowHeight="15.05" x14ac:dyDescent="0.3"/>
  <cols>
    <col min="1" max="1" width="15.77734375" style="9" customWidth="1"/>
    <col min="2" max="3" width="15.77734375" style="11" customWidth="1"/>
    <col min="4" max="4" width="19.6640625" style="11" customWidth="1"/>
    <col min="5" max="6" width="15.77734375" style="11" customWidth="1"/>
  </cols>
  <sheetData>
    <row r="1" spans="1:6" ht="20.3" x14ac:dyDescent="0.35">
      <c r="A1" s="15" t="s">
        <v>61</v>
      </c>
      <c r="B1" s="15"/>
      <c r="C1" s="15"/>
      <c r="D1" s="15"/>
      <c r="E1" s="15"/>
      <c r="F1" s="15"/>
    </row>
    <row r="2" spans="1:6" x14ac:dyDescent="0.3">
      <c r="A2" s="7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</row>
    <row r="3" spans="1:6" x14ac:dyDescent="0.3">
      <c r="A3" s="8">
        <v>44927</v>
      </c>
      <c r="B3" s="14">
        <v>355000</v>
      </c>
      <c r="C3" s="14">
        <v>142000</v>
      </c>
      <c r="D3" s="14">
        <v>84000</v>
      </c>
      <c r="E3" s="14">
        <v>32000</v>
      </c>
      <c r="F3" s="14">
        <v>18000</v>
      </c>
    </row>
    <row r="4" spans="1:6" x14ac:dyDescent="0.3">
      <c r="A4" s="8">
        <v>44958</v>
      </c>
      <c r="B4" s="14">
        <v>368000</v>
      </c>
      <c r="C4" s="14">
        <v>148000</v>
      </c>
      <c r="D4" s="14">
        <v>85000</v>
      </c>
      <c r="E4" s="14">
        <v>34000</v>
      </c>
      <c r="F4" s="14">
        <v>19000</v>
      </c>
    </row>
    <row r="5" spans="1:6" x14ac:dyDescent="0.3">
      <c r="A5" s="8">
        <v>44986</v>
      </c>
      <c r="B5" s="14">
        <v>382000</v>
      </c>
      <c r="C5" s="14">
        <v>153000</v>
      </c>
      <c r="D5" s="14">
        <v>87000</v>
      </c>
      <c r="E5" s="14">
        <v>35000</v>
      </c>
      <c r="F5" s="14">
        <v>20000</v>
      </c>
    </row>
    <row r="6" spans="1:6" x14ac:dyDescent="0.3">
      <c r="A6" s="8">
        <v>45017</v>
      </c>
      <c r="B6" s="14">
        <v>394000</v>
      </c>
      <c r="C6" s="14">
        <v>158000</v>
      </c>
      <c r="D6" s="14">
        <v>90000</v>
      </c>
      <c r="E6" s="14">
        <v>36000</v>
      </c>
      <c r="F6" s="14">
        <v>21000</v>
      </c>
    </row>
    <row r="7" spans="1:6" x14ac:dyDescent="0.3">
      <c r="A7" s="8">
        <v>45047</v>
      </c>
      <c r="B7" s="14">
        <v>405000</v>
      </c>
      <c r="C7" s="14">
        <v>164000</v>
      </c>
      <c r="D7" s="14">
        <v>92000</v>
      </c>
      <c r="E7" s="14">
        <v>37000</v>
      </c>
      <c r="F7" s="14">
        <v>22000</v>
      </c>
    </row>
    <row r="8" spans="1:6" x14ac:dyDescent="0.3">
      <c r="A8" s="8">
        <v>45078</v>
      </c>
      <c r="B8" s="14">
        <v>420000</v>
      </c>
      <c r="C8" s="14">
        <v>170000</v>
      </c>
      <c r="D8" s="14">
        <v>93000</v>
      </c>
      <c r="E8" s="14">
        <v>38000</v>
      </c>
      <c r="F8" s="14">
        <v>23000</v>
      </c>
    </row>
    <row r="9" spans="1:6" x14ac:dyDescent="0.3">
      <c r="A9" s="8">
        <v>45108</v>
      </c>
      <c r="B9" s="14">
        <v>432000</v>
      </c>
      <c r="C9" s="14">
        <v>175000</v>
      </c>
      <c r="D9" s="14">
        <v>95000</v>
      </c>
      <c r="E9" s="14">
        <v>39000</v>
      </c>
      <c r="F9" s="14">
        <v>24000</v>
      </c>
    </row>
    <row r="10" spans="1:6" x14ac:dyDescent="0.3">
      <c r="A10" s="8">
        <v>45139</v>
      </c>
      <c r="B10" s="14">
        <v>448000</v>
      </c>
      <c r="C10" s="14">
        <v>182000</v>
      </c>
      <c r="D10" s="14">
        <v>97000</v>
      </c>
      <c r="E10" s="14">
        <v>40000</v>
      </c>
      <c r="F10" s="14">
        <v>24500</v>
      </c>
    </row>
    <row r="11" spans="1:6" x14ac:dyDescent="0.3">
      <c r="A11" s="8">
        <v>45170</v>
      </c>
      <c r="B11" s="14">
        <v>462000</v>
      </c>
      <c r="C11" s="14">
        <v>190000</v>
      </c>
      <c r="D11" s="14">
        <v>99000</v>
      </c>
      <c r="E11" s="14">
        <v>41000</v>
      </c>
      <c r="F11" s="14">
        <v>25000</v>
      </c>
    </row>
    <row r="12" spans="1:6" x14ac:dyDescent="0.3">
      <c r="A12" s="8">
        <v>45200</v>
      </c>
      <c r="B12" s="14">
        <v>475000</v>
      </c>
      <c r="C12" s="14">
        <v>197000</v>
      </c>
      <c r="D12" s="14">
        <v>101000</v>
      </c>
      <c r="E12" s="14">
        <v>42000</v>
      </c>
      <c r="F12" s="14">
        <v>26000</v>
      </c>
    </row>
    <row r="13" spans="1:6" x14ac:dyDescent="0.3">
      <c r="A13" s="8">
        <v>45231</v>
      </c>
      <c r="B13" s="14">
        <v>490000</v>
      </c>
      <c r="C13" s="14">
        <v>205000</v>
      </c>
      <c r="D13" s="14">
        <v>103000</v>
      </c>
      <c r="E13" s="14">
        <v>43000</v>
      </c>
      <c r="F13" s="14">
        <v>27000</v>
      </c>
    </row>
    <row r="14" spans="1:6" x14ac:dyDescent="0.3">
      <c r="A14" s="8">
        <v>45261</v>
      </c>
      <c r="B14" s="14">
        <v>505000</v>
      </c>
      <c r="C14" s="14">
        <v>212000</v>
      </c>
      <c r="D14" s="14">
        <v>105000</v>
      </c>
      <c r="E14" s="14">
        <v>44000</v>
      </c>
      <c r="F14" s="14">
        <v>28000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D5FE-F395-4387-A85C-9E31E571C5C2}">
  <dimension ref="A1:B9"/>
  <sheetViews>
    <sheetView workbookViewId="0">
      <selection activeCell="E22" sqref="E22"/>
    </sheetView>
  </sheetViews>
  <sheetFormatPr defaultRowHeight="15.05" x14ac:dyDescent="0.3"/>
  <cols>
    <col min="1" max="1" width="20.21875" style="2" customWidth="1"/>
    <col min="2" max="2" width="8.88671875" style="4"/>
  </cols>
  <sheetData>
    <row r="1" spans="1:2" ht="18.350000000000001" x14ac:dyDescent="0.35">
      <c r="A1" s="16" t="s">
        <v>6</v>
      </c>
      <c r="B1" s="16"/>
    </row>
    <row r="2" spans="1:2" x14ac:dyDescent="0.3">
      <c r="A2" s="1" t="s">
        <v>7</v>
      </c>
      <c r="B2" s="5" t="s">
        <v>8</v>
      </c>
    </row>
    <row r="3" spans="1:2" x14ac:dyDescent="0.3">
      <c r="A3" s="3" t="s">
        <v>9</v>
      </c>
      <c r="B3" s="6">
        <v>0.04</v>
      </c>
    </row>
    <row r="4" spans="1:2" x14ac:dyDescent="0.3">
      <c r="A4" s="3" t="s">
        <v>10</v>
      </c>
      <c r="B4" s="6">
        <v>0.4</v>
      </c>
    </row>
    <row r="5" spans="1:2" ht="30.15" x14ac:dyDescent="0.3">
      <c r="A5" s="3" t="s">
        <v>11</v>
      </c>
      <c r="B5" s="6">
        <v>0.02</v>
      </c>
    </row>
    <row r="6" spans="1:2" x14ac:dyDescent="0.3">
      <c r="A6" s="3" t="s">
        <v>12</v>
      </c>
      <c r="B6" s="6">
        <v>0.08</v>
      </c>
    </row>
    <row r="7" spans="1:2" x14ac:dyDescent="0.3">
      <c r="A7" s="3" t="s">
        <v>13</v>
      </c>
      <c r="B7" s="6">
        <v>0.05</v>
      </c>
    </row>
    <row r="8" spans="1:2" x14ac:dyDescent="0.3">
      <c r="A8" s="3" t="s">
        <v>14</v>
      </c>
      <c r="B8" s="6">
        <v>0.25</v>
      </c>
    </row>
    <row r="9" spans="1:2" x14ac:dyDescent="0.3">
      <c r="A9" s="1" t="s">
        <v>15</v>
      </c>
      <c r="B9" s="5">
        <v>60000000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4F31-0F87-4341-BC37-5700996B6DEB}">
  <dimension ref="A1:N30"/>
  <sheetViews>
    <sheetView workbookViewId="0">
      <selection activeCell="D19" sqref="D19"/>
    </sheetView>
  </sheetViews>
  <sheetFormatPr defaultRowHeight="15.05" x14ac:dyDescent="0.3"/>
  <cols>
    <col min="1" max="1" width="15.21875" style="9" customWidth="1"/>
    <col min="2" max="2" width="13" style="12" customWidth="1"/>
    <col min="3" max="3" width="13.88671875" style="12" customWidth="1"/>
    <col min="4" max="4" width="19.33203125" style="4" customWidth="1"/>
    <col min="5" max="5" width="15.21875" style="4" customWidth="1"/>
    <col min="6" max="6" width="17.6640625" style="4" customWidth="1"/>
    <col min="7" max="13" width="15.21875" style="4" customWidth="1"/>
  </cols>
  <sheetData>
    <row r="1" spans="1:14" ht="20.3" x14ac:dyDescent="0.35">
      <c r="A1" s="53" t="s">
        <v>60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4" s="57" customFormat="1" x14ac:dyDescent="0.3">
      <c r="A2" s="54" t="s">
        <v>0</v>
      </c>
      <c r="B2" s="55" t="s">
        <v>1</v>
      </c>
      <c r="C2" s="55" t="s">
        <v>2</v>
      </c>
      <c r="D2" s="56" t="s">
        <v>16</v>
      </c>
      <c r="E2" s="56" t="s">
        <v>4</v>
      </c>
      <c r="F2" s="56" t="s">
        <v>17</v>
      </c>
      <c r="G2" s="56" t="s">
        <v>18</v>
      </c>
      <c r="H2" s="56" t="s">
        <v>19</v>
      </c>
      <c r="I2" s="56" t="s">
        <v>20</v>
      </c>
      <c r="J2" s="56" t="s">
        <v>21</v>
      </c>
      <c r="K2" s="56" t="s">
        <v>22</v>
      </c>
      <c r="L2" s="56" t="s">
        <v>23</v>
      </c>
      <c r="M2" s="56" t="s">
        <v>24</v>
      </c>
    </row>
    <row r="3" spans="1:14" x14ac:dyDescent="0.3">
      <c r="A3" s="8">
        <v>45292</v>
      </c>
      <c r="B3" s="12">
        <f>_xlfn.XLOOKUP(Historical_Data!A14,Historical_Data!A:A,Historical_Data!B:B)*(1+Assumptions!B3)</f>
        <v>525200</v>
      </c>
      <c r="C3" s="12">
        <f>B3*Assumptions!$B$4</f>
        <v>210080</v>
      </c>
      <c r="D3" s="12">
        <f>B3*Assumptions!$B$5</f>
        <v>10504</v>
      </c>
      <c r="E3" s="12">
        <f>B3*Assumptions!$B$6</f>
        <v>42016</v>
      </c>
      <c r="F3" s="12">
        <f>B3*Assumptions!$B$7</f>
        <v>26260</v>
      </c>
      <c r="G3" s="12">
        <f>B3-C3</f>
        <v>315120</v>
      </c>
      <c r="H3" s="12">
        <f>G3-(D3+E3+F3)</f>
        <v>236340</v>
      </c>
      <c r="I3" s="13">
        <v>15000</v>
      </c>
      <c r="J3" s="13">
        <v>8000</v>
      </c>
      <c r="K3" s="12">
        <f xml:space="preserve"> H3 - I3 - J3</f>
        <v>213340</v>
      </c>
      <c r="L3" s="12">
        <f>B3*Assumptions!$B$8</f>
        <v>131300</v>
      </c>
      <c r="M3" s="12">
        <f xml:space="preserve"> K3 - L3</f>
        <v>82040</v>
      </c>
      <c r="N3" s="12"/>
    </row>
    <row r="4" spans="1:14" x14ac:dyDescent="0.3">
      <c r="A4" s="8">
        <v>45323</v>
      </c>
      <c r="B4" s="12">
        <f>B3*(1+Assumptions!$B$3)</f>
        <v>546208</v>
      </c>
      <c r="C4" s="12">
        <f>B4*Assumptions!$B$4</f>
        <v>218483.20000000001</v>
      </c>
      <c r="D4" s="12">
        <f>B4*Assumptions!$B$5</f>
        <v>10924.16</v>
      </c>
      <c r="E4" s="12">
        <f>B4*Assumptions!$B$6</f>
        <v>43696.639999999999</v>
      </c>
      <c r="F4" s="12">
        <f>B4*Assumptions!$B$7</f>
        <v>27310.400000000001</v>
      </c>
      <c r="G4" s="12">
        <f t="shared" ref="G4:G14" si="0">B4-C4</f>
        <v>327724.79999999999</v>
      </c>
      <c r="H4" s="12">
        <f t="shared" ref="H4:H14" si="1">G4-(D4+E4+F4)</f>
        <v>245793.59999999998</v>
      </c>
      <c r="I4" s="13">
        <v>15000</v>
      </c>
      <c r="J4" s="13">
        <v>8000</v>
      </c>
      <c r="K4" s="12">
        <f t="shared" ref="K4:K14" si="2" xml:space="preserve"> H4 - I4 - J4</f>
        <v>222793.59999999998</v>
      </c>
      <c r="L4" s="12">
        <f>B4*Assumptions!$B$8</f>
        <v>136552</v>
      </c>
      <c r="M4" s="12">
        <f t="shared" ref="M4:M14" si="3" xml:space="preserve"> K4 - L4</f>
        <v>86241.599999999977</v>
      </c>
      <c r="N4" s="12"/>
    </row>
    <row r="5" spans="1:14" x14ac:dyDescent="0.3">
      <c r="A5" s="8">
        <v>45352</v>
      </c>
      <c r="B5" s="12">
        <f>B4*(1+Assumptions!$B$3)</f>
        <v>568056.32000000007</v>
      </c>
      <c r="C5" s="12">
        <f>B5*Assumptions!$B$4</f>
        <v>227222.52800000005</v>
      </c>
      <c r="D5" s="12">
        <f>B5*Assumptions!$B$5</f>
        <v>11361.126400000001</v>
      </c>
      <c r="E5" s="12">
        <f>B5*Assumptions!$B$6</f>
        <v>45444.505600000004</v>
      </c>
      <c r="F5" s="12">
        <f>B5*Assumptions!$B$7</f>
        <v>28402.816000000006</v>
      </c>
      <c r="G5" s="12">
        <f t="shared" si="0"/>
        <v>340833.79200000002</v>
      </c>
      <c r="H5" s="12">
        <f t="shared" si="1"/>
        <v>255625.34400000001</v>
      </c>
      <c r="I5" s="13">
        <v>15000</v>
      </c>
      <c r="J5" s="13">
        <v>8000</v>
      </c>
      <c r="K5" s="12">
        <f t="shared" si="2"/>
        <v>232625.34400000001</v>
      </c>
      <c r="L5" s="12">
        <f>B5*Assumptions!$B$8</f>
        <v>142014.08000000002</v>
      </c>
      <c r="M5" s="12">
        <f t="shared" si="3"/>
        <v>90611.263999999996</v>
      </c>
      <c r="N5" s="12"/>
    </row>
    <row r="6" spans="1:14" x14ac:dyDescent="0.3">
      <c r="A6" s="8">
        <v>45383</v>
      </c>
      <c r="B6" s="12">
        <f>B5*(1+Assumptions!$B$3)</f>
        <v>590778.57280000008</v>
      </c>
      <c r="C6" s="12">
        <f>B6*Assumptions!$B$4</f>
        <v>236311.42912000004</v>
      </c>
      <c r="D6" s="12">
        <f>B6*Assumptions!$B$5</f>
        <v>11815.571456000001</v>
      </c>
      <c r="E6" s="12">
        <f>B6*Assumptions!$B$6</f>
        <v>47262.285824000006</v>
      </c>
      <c r="F6" s="12">
        <f>B6*Assumptions!$B$7</f>
        <v>29538.928640000006</v>
      </c>
      <c r="G6" s="12">
        <f t="shared" si="0"/>
        <v>354467.14368000004</v>
      </c>
      <c r="H6" s="12">
        <f t="shared" si="1"/>
        <v>265850.35776000004</v>
      </c>
      <c r="I6" s="13">
        <v>15000</v>
      </c>
      <c r="J6" s="13">
        <v>8000</v>
      </c>
      <c r="K6" s="12">
        <f t="shared" si="2"/>
        <v>242850.35776000004</v>
      </c>
      <c r="L6" s="12">
        <f>B6*Assumptions!$B$8</f>
        <v>147694.64320000002</v>
      </c>
      <c r="M6" s="12">
        <f t="shared" si="3"/>
        <v>95155.714560000022</v>
      </c>
      <c r="N6" s="12"/>
    </row>
    <row r="7" spans="1:14" x14ac:dyDescent="0.3">
      <c r="A7" s="8">
        <v>45413</v>
      </c>
      <c r="B7" s="12">
        <f>B6*(1+Assumptions!$B$3)</f>
        <v>614409.71571200015</v>
      </c>
      <c r="C7" s="12">
        <f>B7*Assumptions!$B$4</f>
        <v>245763.88628480007</v>
      </c>
      <c r="D7" s="12">
        <f>B7*Assumptions!$B$5</f>
        <v>12288.194314240003</v>
      </c>
      <c r="E7" s="12">
        <f>B7*Assumptions!$B$6</f>
        <v>49152.777256960013</v>
      </c>
      <c r="F7" s="12">
        <f>B7*Assumptions!$B$7</f>
        <v>30720.485785600009</v>
      </c>
      <c r="G7" s="12">
        <f t="shared" si="0"/>
        <v>368645.82942720008</v>
      </c>
      <c r="H7" s="12">
        <f t="shared" si="1"/>
        <v>276484.37207040004</v>
      </c>
      <c r="I7" s="13">
        <v>15000</v>
      </c>
      <c r="J7" s="13">
        <v>8000</v>
      </c>
      <c r="K7" s="12">
        <f t="shared" si="2"/>
        <v>253484.37207040004</v>
      </c>
      <c r="L7" s="12">
        <f>B7*Assumptions!$B$8</f>
        <v>153602.42892800004</v>
      </c>
      <c r="M7" s="12">
        <f t="shared" si="3"/>
        <v>99881.943142400007</v>
      </c>
      <c r="N7" s="12"/>
    </row>
    <row r="8" spans="1:14" x14ac:dyDescent="0.3">
      <c r="A8" s="8">
        <v>45444</v>
      </c>
      <c r="B8" s="12">
        <f>B7*(1+Assumptions!$B$3)</f>
        <v>638986.10434048017</v>
      </c>
      <c r="C8" s="12">
        <f>B8*Assumptions!$B$4</f>
        <v>255594.44173619209</v>
      </c>
      <c r="D8" s="12">
        <f>B8*Assumptions!$B$5</f>
        <v>12779.722086809605</v>
      </c>
      <c r="E8" s="12">
        <f>B8*Assumptions!$B$6</f>
        <v>51118.888347238419</v>
      </c>
      <c r="F8" s="12">
        <f>B8*Assumptions!$B$7</f>
        <v>31949.305217024012</v>
      </c>
      <c r="G8" s="12">
        <f t="shared" si="0"/>
        <v>383391.66260428808</v>
      </c>
      <c r="H8" s="12">
        <f t="shared" si="1"/>
        <v>287543.74695321603</v>
      </c>
      <c r="I8" s="13">
        <v>15000</v>
      </c>
      <c r="J8" s="13">
        <v>8000</v>
      </c>
      <c r="K8" s="12">
        <f t="shared" si="2"/>
        <v>264543.74695321603</v>
      </c>
      <c r="L8" s="12">
        <f>B8*Assumptions!$B$8</f>
        <v>159746.52608512004</v>
      </c>
      <c r="M8" s="12">
        <f t="shared" si="3"/>
        <v>104797.22086809599</v>
      </c>
      <c r="N8" s="12"/>
    </row>
    <row r="9" spans="1:14" x14ac:dyDescent="0.3">
      <c r="A9" s="8">
        <v>45474</v>
      </c>
      <c r="B9" s="12">
        <f>B8*(1+Assumptions!$B$3)</f>
        <v>664545.54851409944</v>
      </c>
      <c r="C9" s="12">
        <f>B9*Assumptions!$B$4</f>
        <v>265818.2194056398</v>
      </c>
      <c r="D9" s="12">
        <f>B9*Assumptions!$B$5</f>
        <v>13290.91097028199</v>
      </c>
      <c r="E9" s="12">
        <f>B9*Assumptions!$B$6</f>
        <v>53163.643881127959</v>
      </c>
      <c r="F9" s="12">
        <f>B9*Assumptions!$B$7</f>
        <v>33227.277425704975</v>
      </c>
      <c r="G9" s="12">
        <f t="shared" si="0"/>
        <v>398727.32910845964</v>
      </c>
      <c r="H9" s="12">
        <f t="shared" si="1"/>
        <v>299045.49683134473</v>
      </c>
      <c r="I9" s="13">
        <v>15000</v>
      </c>
      <c r="J9" s="13">
        <v>8000</v>
      </c>
      <c r="K9" s="12">
        <f t="shared" si="2"/>
        <v>276045.49683134473</v>
      </c>
      <c r="L9" s="12">
        <f>B9*Assumptions!$B$8</f>
        <v>166136.38712852486</v>
      </c>
      <c r="M9" s="12">
        <f t="shared" si="3"/>
        <v>109909.10970281987</v>
      </c>
      <c r="N9" s="12"/>
    </row>
    <row r="10" spans="1:14" x14ac:dyDescent="0.3">
      <c r="A10" s="8">
        <v>45505</v>
      </c>
      <c r="B10" s="12">
        <f>B9*(1+Assumptions!$B$3)</f>
        <v>691127.37045466341</v>
      </c>
      <c r="C10" s="12">
        <f>B10*Assumptions!$B$4</f>
        <v>276450.94818186539</v>
      </c>
      <c r="D10" s="12">
        <f>B10*Assumptions!$B$5</f>
        <v>13822.547409093269</v>
      </c>
      <c r="E10" s="12">
        <f>B10*Assumptions!$B$6</f>
        <v>55290.189636373078</v>
      </c>
      <c r="F10" s="12">
        <f>B10*Assumptions!$B$7</f>
        <v>34556.368522733173</v>
      </c>
      <c r="G10" s="12">
        <f t="shared" si="0"/>
        <v>414676.42227279802</v>
      </c>
      <c r="H10" s="12">
        <f t="shared" si="1"/>
        <v>311007.31670459849</v>
      </c>
      <c r="I10" s="13">
        <v>15000</v>
      </c>
      <c r="J10" s="13">
        <v>8000</v>
      </c>
      <c r="K10" s="12">
        <f t="shared" si="2"/>
        <v>288007.31670459849</v>
      </c>
      <c r="L10" s="12">
        <f>B10*Assumptions!$B$8</f>
        <v>172781.84261366585</v>
      </c>
      <c r="M10" s="12">
        <f t="shared" si="3"/>
        <v>115225.47409093264</v>
      </c>
      <c r="N10" s="12"/>
    </row>
    <row r="11" spans="1:14" x14ac:dyDescent="0.3">
      <c r="A11" s="8">
        <v>45536</v>
      </c>
      <c r="B11" s="12">
        <f>B10*(1+Assumptions!$B$3)</f>
        <v>718772.46527285001</v>
      </c>
      <c r="C11" s="12">
        <f>B11*Assumptions!$B$4</f>
        <v>287508.98610914004</v>
      </c>
      <c r="D11" s="12">
        <f>B11*Assumptions!$B$5</f>
        <v>14375.449305457001</v>
      </c>
      <c r="E11" s="12">
        <f>B11*Assumptions!$B$6</f>
        <v>57501.797221828005</v>
      </c>
      <c r="F11" s="12">
        <f>B11*Assumptions!$B$7</f>
        <v>35938.623263642505</v>
      </c>
      <c r="G11" s="12">
        <f t="shared" si="0"/>
        <v>431263.47916370997</v>
      </c>
      <c r="H11" s="12">
        <f t="shared" si="1"/>
        <v>323447.60937278246</v>
      </c>
      <c r="I11" s="13">
        <v>15000</v>
      </c>
      <c r="J11" s="13">
        <v>8000</v>
      </c>
      <c r="K11" s="12">
        <f t="shared" si="2"/>
        <v>300447.60937278246</v>
      </c>
      <c r="L11" s="12">
        <f>B11*Assumptions!$B$8</f>
        <v>179693.1163182125</v>
      </c>
      <c r="M11" s="12">
        <f t="shared" si="3"/>
        <v>120754.49305456996</v>
      </c>
      <c r="N11" s="12"/>
    </row>
    <row r="12" spans="1:14" x14ac:dyDescent="0.3">
      <c r="A12" s="8">
        <v>45566</v>
      </c>
      <c r="B12" s="12">
        <f>B11*(1+Assumptions!$B$3)</f>
        <v>747523.36388376402</v>
      </c>
      <c r="C12" s="12">
        <f>B12*Assumptions!$B$4</f>
        <v>299009.34555350564</v>
      </c>
      <c r="D12" s="12">
        <f>B12*Assumptions!$B$5</f>
        <v>14950.467277675281</v>
      </c>
      <c r="E12" s="12">
        <f>B12*Assumptions!$B$6</f>
        <v>59801.869110701125</v>
      </c>
      <c r="F12" s="12">
        <f>B12*Assumptions!$B$7</f>
        <v>37376.168194188205</v>
      </c>
      <c r="G12" s="12">
        <f t="shared" si="0"/>
        <v>448514.01833025838</v>
      </c>
      <c r="H12" s="12">
        <f t="shared" si="1"/>
        <v>336385.51374769374</v>
      </c>
      <c r="I12" s="13">
        <v>15000</v>
      </c>
      <c r="J12" s="13">
        <v>8000</v>
      </c>
      <c r="K12" s="12">
        <f t="shared" si="2"/>
        <v>313385.51374769374</v>
      </c>
      <c r="L12" s="12">
        <f>B12*Assumptions!$B$8</f>
        <v>186880.840970941</v>
      </c>
      <c r="M12" s="12">
        <f t="shared" si="3"/>
        <v>126504.67277675273</v>
      </c>
      <c r="N12" s="12"/>
    </row>
    <row r="13" spans="1:14" x14ac:dyDescent="0.3">
      <c r="A13" s="8">
        <v>45597</v>
      </c>
      <c r="B13" s="12">
        <f>B12*(1+Assumptions!$B$3)</f>
        <v>777424.29843911459</v>
      </c>
      <c r="C13" s="12">
        <f>B13*Assumptions!$B$4</f>
        <v>310969.71937564586</v>
      </c>
      <c r="D13" s="12">
        <f>B13*Assumptions!$B$5</f>
        <v>15548.485968782292</v>
      </c>
      <c r="E13" s="12">
        <f>B13*Assumptions!$B$6</f>
        <v>62193.943875129167</v>
      </c>
      <c r="F13" s="12">
        <f>B13*Assumptions!$B$7</f>
        <v>38871.214921955732</v>
      </c>
      <c r="G13" s="12">
        <f t="shared" si="0"/>
        <v>466454.57906346873</v>
      </c>
      <c r="H13" s="12">
        <f t="shared" si="1"/>
        <v>349840.93429760152</v>
      </c>
      <c r="I13" s="13">
        <v>15000</v>
      </c>
      <c r="J13" s="13">
        <v>8000</v>
      </c>
      <c r="K13" s="12">
        <f t="shared" si="2"/>
        <v>326840.93429760152</v>
      </c>
      <c r="L13" s="12">
        <f>B13*Assumptions!$B$8</f>
        <v>194356.07460977865</v>
      </c>
      <c r="M13" s="12">
        <f t="shared" si="3"/>
        <v>132484.85968782287</v>
      </c>
      <c r="N13" s="12"/>
    </row>
    <row r="14" spans="1:14" x14ac:dyDescent="0.3">
      <c r="A14" s="8">
        <v>45627</v>
      </c>
      <c r="B14" s="12">
        <f>B13*(1+Assumptions!$B$3)</f>
        <v>808521.27037667925</v>
      </c>
      <c r="C14" s="12">
        <f>B14*Assumptions!$B$4</f>
        <v>323408.50815067173</v>
      </c>
      <c r="D14" s="12">
        <f>B14*Assumptions!$B$5</f>
        <v>16170.425407533585</v>
      </c>
      <c r="E14" s="12">
        <f>B14*Assumptions!$B$6</f>
        <v>64681.701630134339</v>
      </c>
      <c r="F14" s="12">
        <f>B14*Assumptions!$B$7</f>
        <v>40426.063518833966</v>
      </c>
      <c r="G14" s="12">
        <f t="shared" si="0"/>
        <v>485112.76222600753</v>
      </c>
      <c r="H14" s="12">
        <f t="shared" si="1"/>
        <v>363834.57166950562</v>
      </c>
      <c r="I14" s="13">
        <v>15000</v>
      </c>
      <c r="J14" s="13">
        <v>8000</v>
      </c>
      <c r="K14" s="12">
        <f t="shared" si="2"/>
        <v>340834.57166950562</v>
      </c>
      <c r="L14" s="12">
        <f>B14*Assumptions!$B$8</f>
        <v>202130.31759416981</v>
      </c>
      <c r="M14" s="12">
        <f t="shared" si="3"/>
        <v>138704.2540753358</v>
      </c>
      <c r="N14" s="12"/>
    </row>
    <row r="17" spans="1:14" x14ac:dyDescent="0.3">
      <c r="A17" s="48"/>
      <c r="B17" s="49"/>
      <c r="C17" s="49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37"/>
    </row>
    <row r="18" spans="1:14" x14ac:dyDescent="0.3">
      <c r="A18" s="48"/>
      <c r="B18" s="49" t="s">
        <v>26</v>
      </c>
      <c r="C18" s="49"/>
      <c r="D18" s="50"/>
      <c r="E18" s="50"/>
      <c r="F18" s="50"/>
      <c r="G18" s="50" t="s">
        <v>27</v>
      </c>
      <c r="H18" s="50"/>
      <c r="I18" s="50"/>
      <c r="J18" s="50"/>
      <c r="K18" s="50"/>
      <c r="L18" s="50"/>
      <c r="M18" s="50" t="s">
        <v>28</v>
      </c>
      <c r="N18" s="37"/>
    </row>
    <row r="19" spans="1:14" x14ac:dyDescent="0.3">
      <c r="A19" s="48"/>
      <c r="B19" s="49">
        <f>SUM(B3:B14)</f>
        <v>7891553.0297936518</v>
      </c>
      <c r="C19" s="49"/>
      <c r="D19" s="50"/>
      <c r="E19" s="50"/>
      <c r="F19" s="50"/>
      <c r="G19" s="49">
        <f>SUM(Forecast_2024!G3:G14)</f>
        <v>4734931.8178761918</v>
      </c>
      <c r="H19" s="51">
        <f xml:space="preserve"> SUM(Forecast_2024!H3:H14) / SUM(Forecast_2024!B3:B14)</f>
        <v>0.44999999999999996</v>
      </c>
      <c r="I19" s="50"/>
      <c r="J19" s="50"/>
      <c r="K19" s="50"/>
      <c r="L19" s="50"/>
      <c r="M19" s="49">
        <f>SUM(Forecast_2024!M3:M14)</f>
        <v>1302310.6059587297</v>
      </c>
      <c r="N19" s="37"/>
    </row>
    <row r="20" spans="1:14" x14ac:dyDescent="0.3">
      <c r="A20" s="48"/>
      <c r="B20" s="49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1"/>
      <c r="N20" s="37"/>
    </row>
    <row r="21" spans="1:14" x14ac:dyDescent="0.3">
      <c r="A21" s="48"/>
      <c r="B21" s="49"/>
      <c r="C21" s="49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37"/>
    </row>
    <row r="22" spans="1:14" x14ac:dyDescent="0.3">
      <c r="A22" s="48"/>
      <c r="B22" s="49" t="s">
        <v>25</v>
      </c>
      <c r="C22" s="49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37"/>
    </row>
    <row r="23" spans="1:14" x14ac:dyDescent="0.3">
      <c r="A23" s="48"/>
      <c r="B23" s="49">
        <f>AVERAGE(Forecast_2024!B3:B14)</f>
        <v>657629.41914947098</v>
      </c>
      <c r="C23" s="49"/>
      <c r="D23" s="50"/>
      <c r="E23" s="50"/>
      <c r="F23" s="50"/>
      <c r="G23" s="50"/>
      <c r="H23" s="50"/>
      <c r="I23" s="50"/>
      <c r="J23" s="50"/>
      <c r="K23" s="50"/>
      <c r="L23" s="50"/>
      <c r="M23" s="50" t="s">
        <v>29</v>
      </c>
      <c r="N23" s="37"/>
    </row>
    <row r="24" spans="1:14" x14ac:dyDescent="0.3">
      <c r="A24" s="48"/>
      <c r="B24" s="49"/>
      <c r="C24" s="49"/>
      <c r="D24" s="50"/>
      <c r="E24" s="50"/>
      <c r="F24" s="50"/>
      <c r="G24" s="50"/>
      <c r="H24" s="50"/>
      <c r="I24" s="50"/>
      <c r="J24" s="50"/>
      <c r="K24" s="50"/>
      <c r="L24" s="50"/>
      <c r="M24" s="51">
        <f xml:space="preserve"> SUM(Forecast_2024!M7:M18) / SUM(Forecast_2024!B7:B18)</f>
        <v>0.167498689252571</v>
      </c>
      <c r="N24" s="37"/>
    </row>
    <row r="25" spans="1:14" x14ac:dyDescent="0.3">
      <c r="A25" s="48"/>
      <c r="B25" s="49"/>
      <c r="C25" s="49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37"/>
    </row>
    <row r="26" spans="1:14" x14ac:dyDescent="0.3">
      <c r="A26" s="48">
        <f>_xlfn.XLOOKUP(MIN(Forecast_2024!M3:M14), Forecast_2024!M3:M14, Forecast_2024!A3:A14)</f>
        <v>45292</v>
      </c>
      <c r="B26" s="49"/>
      <c r="C26" s="49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37"/>
    </row>
    <row r="27" spans="1:14" x14ac:dyDescent="0.3">
      <c r="A27" s="48">
        <f>_xlfn.XLOOKUP(MAX(Forecast_2024!B3:B14), Forecast_2024!B3:B14, Forecast_2024!A3:A14)</f>
        <v>45627</v>
      </c>
      <c r="B27" s="49"/>
      <c r="C27" s="49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37"/>
    </row>
    <row r="28" spans="1:14" x14ac:dyDescent="0.3">
      <c r="A28" s="48"/>
      <c r="B28" s="49"/>
      <c r="C28" s="49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37"/>
    </row>
    <row r="29" spans="1:14" x14ac:dyDescent="0.3">
      <c r="A29" s="48"/>
      <c r="B29" s="49"/>
      <c r="C29" s="49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37"/>
    </row>
    <row r="30" spans="1:14" x14ac:dyDescent="0.3">
      <c r="A30" s="48"/>
      <c r="B30" s="49"/>
      <c r="C30" s="49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37"/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BA39-5077-4374-A30E-0ECD469755FE}">
  <dimension ref="B1:L69"/>
  <sheetViews>
    <sheetView showGridLines="0" zoomScale="103" workbookViewId="0">
      <selection activeCell="G24" sqref="G24"/>
    </sheetView>
  </sheetViews>
  <sheetFormatPr defaultRowHeight="15.05" x14ac:dyDescent="0.3"/>
  <cols>
    <col min="1" max="1" width="6.44140625" customWidth="1"/>
    <col min="2" max="2" width="14" bestFit="1" customWidth="1"/>
    <col min="3" max="3" width="17.5546875" bestFit="1" customWidth="1"/>
    <col min="4" max="4" width="17.44140625" bestFit="1" customWidth="1"/>
    <col min="5" max="5" width="16.21875" bestFit="1" customWidth="1"/>
    <col min="6" max="6" width="17.33203125" bestFit="1" customWidth="1"/>
    <col min="7" max="7" width="22" bestFit="1" customWidth="1"/>
    <col min="9" max="9" width="11" bestFit="1" customWidth="1"/>
    <col min="10" max="10" width="16.21875" bestFit="1" customWidth="1"/>
    <col min="11" max="11" width="12.6640625" bestFit="1" customWidth="1"/>
    <col min="12" max="12" width="16.21875" bestFit="1" customWidth="1"/>
  </cols>
  <sheetData>
    <row r="1" spans="2:12" ht="15.75" thickBot="1" x14ac:dyDescent="0.35"/>
    <row r="2" spans="2:12" ht="24.25" x14ac:dyDescent="0.45">
      <c r="B2" s="29" t="s">
        <v>56</v>
      </c>
      <c r="C2" s="30"/>
      <c r="D2" s="30"/>
      <c r="E2" s="30"/>
      <c r="F2" s="30"/>
      <c r="G2" s="31"/>
    </row>
    <row r="3" spans="2:12" ht="15.75" x14ac:dyDescent="0.3">
      <c r="B3" s="46" t="s">
        <v>30</v>
      </c>
      <c r="C3" s="47" t="s">
        <v>31</v>
      </c>
      <c r="D3" s="47" t="s">
        <v>32</v>
      </c>
      <c r="E3" s="27" t="s">
        <v>34</v>
      </c>
      <c r="F3" s="28" t="s">
        <v>48</v>
      </c>
      <c r="G3" s="32" t="s">
        <v>49</v>
      </c>
    </row>
    <row r="4" spans="2:12" ht="19" thickBot="1" x14ac:dyDescent="0.4">
      <c r="B4" s="33">
        <v>7891553.0297936518</v>
      </c>
      <c r="C4" s="34">
        <v>4734931.8178761918</v>
      </c>
      <c r="D4" s="34">
        <v>1302310.6059587297</v>
      </c>
      <c r="E4" s="34">
        <v>3551198.8634071429</v>
      </c>
      <c r="F4" s="35">
        <f>GETPIVOTDATA("EBITDA",$E$3)/GETPIVOTDATA("Revenue",$B$3)</f>
        <v>0.44999999999999996</v>
      </c>
      <c r="G4" s="36">
        <f>GETPIVOTDATA("Net Income",$D$3)/GETPIVOTDATA("Revenue",$B$3)</f>
        <v>0.16502589554198085</v>
      </c>
    </row>
    <row r="5" spans="2:12" x14ac:dyDescent="0.3">
      <c r="B5" s="17">
        <f>GETPIVOTDATA("Revenue",$B$3)</f>
        <v>7891553.0297936518</v>
      </c>
      <c r="C5" s="17">
        <f>GETPIVOTDATA("Gross Profit",$C$3)</f>
        <v>4734931.8178761918</v>
      </c>
      <c r="D5" s="17">
        <f>GETPIVOTDATA("Net Income",$D$3)</f>
        <v>1302310.6059587297</v>
      </c>
      <c r="E5" s="17">
        <f>GETPIVOTDATA("EBITDA",$E$3)</f>
        <v>3551198.8634071429</v>
      </c>
      <c r="F5" s="18"/>
      <c r="G5" s="18"/>
    </row>
    <row r="6" spans="2:12" ht="15.75" thickBot="1" x14ac:dyDescent="0.35">
      <c r="B6" s="17"/>
      <c r="C6" s="17"/>
      <c r="D6" s="17"/>
      <c r="E6" s="17"/>
      <c r="F6" s="18"/>
      <c r="G6" s="18"/>
    </row>
    <row r="7" spans="2:12" ht="34.049999999999997" customHeight="1" x14ac:dyDescent="0.35">
      <c r="B7" s="19" t="s">
        <v>57</v>
      </c>
      <c r="C7" s="20"/>
      <c r="E7" s="40" t="s">
        <v>58</v>
      </c>
      <c r="F7" s="41"/>
      <c r="G7" s="42"/>
      <c r="I7" s="40" t="s">
        <v>59</v>
      </c>
      <c r="J7" s="41"/>
      <c r="K7" s="41"/>
      <c r="L7" s="42"/>
    </row>
    <row r="8" spans="2:12" x14ac:dyDescent="0.3">
      <c r="B8" s="21" t="s">
        <v>47</v>
      </c>
      <c r="C8" s="22" t="s">
        <v>30</v>
      </c>
      <c r="E8" s="21" t="s">
        <v>47</v>
      </c>
      <c r="F8" s="43" t="s">
        <v>53</v>
      </c>
      <c r="G8" s="22" t="s">
        <v>52</v>
      </c>
      <c r="I8" s="21" t="s">
        <v>47</v>
      </c>
      <c r="J8" s="43" t="s">
        <v>31</v>
      </c>
      <c r="K8" s="43" t="s">
        <v>34</v>
      </c>
      <c r="L8" s="22" t="s">
        <v>32</v>
      </c>
    </row>
    <row r="9" spans="2:12" x14ac:dyDescent="0.3">
      <c r="B9" s="23" t="s">
        <v>35</v>
      </c>
      <c r="C9" s="24">
        <v>525200</v>
      </c>
      <c r="E9" s="23" t="s">
        <v>35</v>
      </c>
      <c r="F9" s="44">
        <v>525200</v>
      </c>
      <c r="G9" s="24">
        <v>210080</v>
      </c>
      <c r="I9" s="23" t="s">
        <v>35</v>
      </c>
      <c r="J9" s="44">
        <v>315120</v>
      </c>
      <c r="K9" s="44">
        <v>236340</v>
      </c>
      <c r="L9" s="24">
        <v>82040</v>
      </c>
    </row>
    <row r="10" spans="2:12" x14ac:dyDescent="0.3">
      <c r="B10" s="23" t="s">
        <v>36</v>
      </c>
      <c r="C10" s="24">
        <v>546208</v>
      </c>
      <c r="E10" s="23" t="s">
        <v>36</v>
      </c>
      <c r="F10" s="44">
        <v>546208</v>
      </c>
      <c r="G10" s="24">
        <v>218483.20000000001</v>
      </c>
      <c r="I10" s="23" t="s">
        <v>36</v>
      </c>
      <c r="J10" s="44">
        <v>327724.79999999999</v>
      </c>
      <c r="K10" s="44">
        <v>245793.59999999998</v>
      </c>
      <c r="L10" s="24">
        <v>86241.599999999977</v>
      </c>
    </row>
    <row r="11" spans="2:12" x14ac:dyDescent="0.3">
      <c r="B11" s="23" t="s">
        <v>37</v>
      </c>
      <c r="C11" s="24">
        <v>568056.32000000007</v>
      </c>
      <c r="E11" s="23" t="s">
        <v>37</v>
      </c>
      <c r="F11" s="44">
        <v>568056.32000000007</v>
      </c>
      <c r="G11" s="24">
        <v>227222.52800000005</v>
      </c>
      <c r="I11" s="23" t="s">
        <v>37</v>
      </c>
      <c r="J11" s="44">
        <v>340833.79200000002</v>
      </c>
      <c r="K11" s="44">
        <v>255625.34400000001</v>
      </c>
      <c r="L11" s="24">
        <v>90611.263999999996</v>
      </c>
    </row>
    <row r="12" spans="2:12" x14ac:dyDescent="0.3">
      <c r="B12" s="23" t="s">
        <v>38</v>
      </c>
      <c r="C12" s="24">
        <v>590778.57280000008</v>
      </c>
      <c r="E12" s="23" t="s">
        <v>38</v>
      </c>
      <c r="F12" s="44">
        <v>590778.57280000008</v>
      </c>
      <c r="G12" s="24">
        <v>236311.42912000004</v>
      </c>
      <c r="I12" s="23" t="s">
        <v>38</v>
      </c>
      <c r="J12" s="44">
        <v>354467.14368000004</v>
      </c>
      <c r="K12" s="44">
        <v>265850.35776000004</v>
      </c>
      <c r="L12" s="24">
        <v>95155.714560000022</v>
      </c>
    </row>
    <row r="13" spans="2:12" x14ac:dyDescent="0.3">
      <c r="B13" s="23" t="s">
        <v>39</v>
      </c>
      <c r="C13" s="24">
        <v>614409.71571200015</v>
      </c>
      <c r="E13" s="23" t="s">
        <v>39</v>
      </c>
      <c r="F13" s="44">
        <v>614409.71571200015</v>
      </c>
      <c r="G13" s="24">
        <v>245763.88628480007</v>
      </c>
      <c r="I13" s="23" t="s">
        <v>39</v>
      </c>
      <c r="J13" s="44">
        <v>368645.82942720008</v>
      </c>
      <c r="K13" s="44">
        <v>276484.37207040004</v>
      </c>
      <c r="L13" s="24">
        <v>99881.943142400007</v>
      </c>
    </row>
    <row r="14" spans="2:12" x14ac:dyDescent="0.3">
      <c r="B14" s="23" t="s">
        <v>40</v>
      </c>
      <c r="C14" s="24">
        <v>638986.10434048017</v>
      </c>
      <c r="E14" s="23" t="s">
        <v>40</v>
      </c>
      <c r="F14" s="44">
        <v>638986.10434048017</v>
      </c>
      <c r="G14" s="24">
        <v>255594.44173619209</v>
      </c>
      <c r="I14" s="23" t="s">
        <v>40</v>
      </c>
      <c r="J14" s="44">
        <v>383391.66260428808</v>
      </c>
      <c r="K14" s="44">
        <v>287543.74695321603</v>
      </c>
      <c r="L14" s="24">
        <v>104797.22086809599</v>
      </c>
    </row>
    <row r="15" spans="2:12" x14ac:dyDescent="0.3">
      <c r="B15" s="23" t="s">
        <v>41</v>
      </c>
      <c r="C15" s="24">
        <v>664545.54851409944</v>
      </c>
      <c r="E15" s="23" t="s">
        <v>41</v>
      </c>
      <c r="F15" s="44">
        <v>664545.54851409944</v>
      </c>
      <c r="G15" s="24">
        <v>265818.2194056398</v>
      </c>
      <c r="I15" s="23" t="s">
        <v>41</v>
      </c>
      <c r="J15" s="44">
        <v>398727.32910845964</v>
      </c>
      <c r="K15" s="44">
        <v>299045.49683134473</v>
      </c>
      <c r="L15" s="24">
        <v>109909.10970281987</v>
      </c>
    </row>
    <row r="16" spans="2:12" x14ac:dyDescent="0.3">
      <c r="B16" s="23" t="s">
        <v>42</v>
      </c>
      <c r="C16" s="24">
        <v>691127.37045466341</v>
      </c>
      <c r="E16" s="23" t="s">
        <v>42</v>
      </c>
      <c r="F16" s="44">
        <v>691127.37045466341</v>
      </c>
      <c r="G16" s="24">
        <v>276450.94818186539</v>
      </c>
      <c r="I16" s="23" t="s">
        <v>42</v>
      </c>
      <c r="J16" s="44">
        <v>414676.42227279802</v>
      </c>
      <c r="K16" s="44">
        <v>311007.31670459849</v>
      </c>
      <c r="L16" s="24">
        <v>115225.47409093264</v>
      </c>
    </row>
    <row r="17" spans="2:12" x14ac:dyDescent="0.3">
      <c r="B17" s="23" t="s">
        <v>43</v>
      </c>
      <c r="C17" s="24">
        <v>718772.46527285001</v>
      </c>
      <c r="E17" s="23" t="s">
        <v>43</v>
      </c>
      <c r="F17" s="44">
        <v>718772.46527285001</v>
      </c>
      <c r="G17" s="24">
        <v>287508.98610914004</v>
      </c>
      <c r="I17" s="23" t="s">
        <v>43</v>
      </c>
      <c r="J17" s="44">
        <v>431263.47916370997</v>
      </c>
      <c r="K17" s="44">
        <v>323447.60937278246</v>
      </c>
      <c r="L17" s="24">
        <v>120754.49305456996</v>
      </c>
    </row>
    <row r="18" spans="2:12" x14ac:dyDescent="0.3">
      <c r="B18" s="23" t="s">
        <v>44</v>
      </c>
      <c r="C18" s="24">
        <v>747523.36388376402</v>
      </c>
      <c r="E18" s="23" t="s">
        <v>44</v>
      </c>
      <c r="F18" s="44">
        <v>747523.36388376402</v>
      </c>
      <c r="G18" s="24">
        <v>299009.34555350564</v>
      </c>
      <c r="I18" s="23" t="s">
        <v>44</v>
      </c>
      <c r="J18" s="44">
        <v>448514.01833025838</v>
      </c>
      <c r="K18" s="44">
        <v>336385.51374769374</v>
      </c>
      <c r="L18" s="24">
        <v>126504.67277675273</v>
      </c>
    </row>
    <row r="19" spans="2:12" x14ac:dyDescent="0.3">
      <c r="B19" s="23" t="s">
        <v>45</v>
      </c>
      <c r="C19" s="24">
        <v>777424.29843911459</v>
      </c>
      <c r="E19" s="23" t="s">
        <v>45</v>
      </c>
      <c r="F19" s="44">
        <v>777424.29843911459</v>
      </c>
      <c r="G19" s="24">
        <v>310969.71937564586</v>
      </c>
      <c r="I19" s="23" t="s">
        <v>45</v>
      </c>
      <c r="J19" s="44">
        <v>466454.57906346873</v>
      </c>
      <c r="K19" s="44">
        <v>349840.93429760152</v>
      </c>
      <c r="L19" s="24">
        <v>132484.85968782287</v>
      </c>
    </row>
    <row r="20" spans="2:12" x14ac:dyDescent="0.3">
      <c r="B20" s="23" t="s">
        <v>46</v>
      </c>
      <c r="C20" s="24">
        <v>808521.27037667925</v>
      </c>
      <c r="E20" s="23" t="s">
        <v>46</v>
      </c>
      <c r="F20" s="44">
        <v>808521.27037667925</v>
      </c>
      <c r="G20" s="24">
        <v>323408.50815067173</v>
      </c>
      <c r="I20" s="23" t="s">
        <v>46</v>
      </c>
      <c r="J20" s="44">
        <v>485112.76222600753</v>
      </c>
      <c r="K20" s="44">
        <v>363834.57166950562</v>
      </c>
      <c r="L20" s="24">
        <v>138704.2540753358</v>
      </c>
    </row>
    <row r="21" spans="2:12" ht="15.75" thickBot="1" x14ac:dyDescent="0.35">
      <c r="B21" s="25" t="s">
        <v>33</v>
      </c>
      <c r="C21" s="26">
        <v>7891553.0297936518</v>
      </c>
      <c r="E21" s="25" t="s">
        <v>33</v>
      </c>
      <c r="F21" s="45">
        <v>7891553.0297936518</v>
      </c>
      <c r="G21" s="26">
        <v>3156621.2119174604</v>
      </c>
      <c r="I21" s="25" t="s">
        <v>33</v>
      </c>
      <c r="J21" s="45">
        <v>4734931.8178761918</v>
      </c>
      <c r="K21" s="45">
        <v>3551198.8634071429</v>
      </c>
      <c r="L21" s="26">
        <v>1302310.6059587297</v>
      </c>
    </row>
    <row r="60" spans="2:5" x14ac:dyDescent="0.3">
      <c r="B60" s="39" t="s">
        <v>30</v>
      </c>
      <c r="C60" s="39" t="s">
        <v>50</v>
      </c>
      <c r="D60" s="39" t="s">
        <v>31</v>
      </c>
      <c r="E60" s="39" t="s">
        <v>32</v>
      </c>
    </row>
    <row r="61" spans="2:5" x14ac:dyDescent="0.3">
      <c r="B61" s="38">
        <v>7891553.0297936518</v>
      </c>
      <c r="C61" s="38">
        <v>3156621.2119174604</v>
      </c>
      <c r="D61" s="38">
        <v>4734931.8178761918</v>
      </c>
      <c r="E61" s="38">
        <v>1302310.6059587297</v>
      </c>
    </row>
    <row r="65" spans="2:3" x14ac:dyDescent="0.3">
      <c r="B65" s="37" t="s">
        <v>54</v>
      </c>
      <c r="C65" s="37" t="s">
        <v>8</v>
      </c>
    </row>
    <row r="66" spans="2:3" x14ac:dyDescent="0.3">
      <c r="B66" s="37" t="s">
        <v>53</v>
      </c>
      <c r="C66" s="38">
        <f>GETPIVOTDATA("Sum of Revenue",$B$60)</f>
        <v>7891553.0297936518</v>
      </c>
    </row>
    <row r="67" spans="2:3" x14ac:dyDescent="0.3">
      <c r="B67" s="37" t="s">
        <v>52</v>
      </c>
      <c r="C67" s="38">
        <f>GETPIVOTDATA("Sum of COGS",$B$60)</f>
        <v>3156621.2119174604</v>
      </c>
    </row>
    <row r="68" spans="2:3" x14ac:dyDescent="0.3">
      <c r="B68" s="37" t="s">
        <v>55</v>
      </c>
      <c r="C68" s="38">
        <f>GETPIVOTDATA("Sum of Gross Profit",$B$60)</f>
        <v>4734931.8178761918</v>
      </c>
    </row>
    <row r="69" spans="2:3" x14ac:dyDescent="0.3">
      <c r="B69" s="37" t="s">
        <v>28</v>
      </c>
      <c r="C69" s="38">
        <f>GETPIVOTDATA("Sum of Net Income",$B$60)</f>
        <v>1302310.6059587297</v>
      </c>
    </row>
  </sheetData>
  <mergeCells count="4">
    <mergeCell ref="B2:G2"/>
    <mergeCell ref="B7:C7"/>
    <mergeCell ref="E7:G7"/>
    <mergeCell ref="I7:L7"/>
  </mergeCells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7F04-031B-4DED-9A83-65ABD33D35B5}">
  <dimension ref="U17"/>
  <sheetViews>
    <sheetView showGridLines="0" tabSelected="1" zoomScale="94" workbookViewId="0">
      <selection activeCell="Q18" sqref="Q18"/>
    </sheetView>
  </sheetViews>
  <sheetFormatPr defaultRowHeight="15.05" x14ac:dyDescent="0.3"/>
  <sheetData>
    <row r="17" spans="21:21" x14ac:dyDescent="0.3">
      <c r="U17" t="s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Historical_Data</vt:lpstr>
      <vt:lpstr>Assumptions</vt:lpstr>
      <vt:lpstr>Forecast_2024</vt:lpstr>
      <vt:lpstr>Table Wise Distribution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2025-11-20T04:37:24Z</dcterms:created>
  <dcterms:modified xsi:type="dcterms:W3CDTF">2025-11-22T16:50:47Z</dcterms:modified>
</cp:coreProperties>
</file>